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shareroom.caagis.group.gca/caas/ST_PECC/Documents partages/"/>
    </mc:Choice>
  </mc:AlternateContent>
  <xr:revisionPtr revIDLastSave="0" documentId="13_ncr:1_{2FF2D2C1-2E95-4A43-BE97-E12F71B1841A}" xr6:coauthVersionLast="47" xr6:coauthVersionMax="47" xr10:uidLastSave="{00000000-0000-0000-0000-000000000000}"/>
  <bookViews>
    <workbookView xWindow="-108" yWindow="-108" windowWidth="41496" windowHeight="16776" activeTab="2" xr2:uid="{00000000-000D-0000-FFFF-FFFF00000000}"/>
  </bookViews>
  <sheets>
    <sheet name="Légende" sheetId="6" r:id="rId1"/>
    <sheet name="Détail" sheetId="1" r:id="rId2"/>
    <sheet name="Planning" sheetId="3" r:id="rId3"/>
    <sheet name="Param" sheetId="2" r:id="rId4"/>
    <sheet name="Archives Détail" sheetId="8" r:id="rId5"/>
    <sheet name="Archives Param" sheetId="9" r:id="rId6"/>
    <sheet name="Usage Env" sheetId="4" r:id="rId7"/>
    <sheet name="Récup Carto" sheetId="5" state="hidden" r:id="rId8"/>
  </sheets>
  <definedNames>
    <definedName name="_xlnm._FilterDatabase" localSheetId="4" hidden="1">'Archives Détail'!$A$1:$E$404</definedName>
    <definedName name="_xlnm._FilterDatabase" localSheetId="1" hidden="1">Détail!$A$1:$E$199</definedName>
    <definedName name="_xlnm._FilterDatabase" localSheetId="2" hidden="1">Planning!$A$3:$C$169</definedName>
    <definedName name="_xlnm._FilterDatabase" localSheetId="7" hidden="1">'Récup Carto'!$A$1:$F$65</definedName>
    <definedName name="Col_Date_Début">Planning!$E$3</definedName>
    <definedName name="Couleurs" localSheetId="5">'Archives Param'!$P$3:$R$18</definedName>
    <definedName name="Couleurs">Param!$P$3:$R$18</definedName>
    <definedName name="Date_début" localSheetId="5">'Archives Param'!$B$1</definedName>
    <definedName name="Date_début">Param!$B$1</definedName>
    <definedName name="Date_fin" localSheetId="5">'Archives Param'!$B$2</definedName>
    <definedName name="Date_fin">Param!$B$2</definedName>
    <definedName name="DuréeSprint" localSheetId="5">'Archives Param'!$AA$1</definedName>
    <definedName name="DuréeSprint">Param!$AA$1</definedName>
    <definedName name="Env" localSheetId="5">'Archives Param'!$M$3:$M$18</definedName>
    <definedName name="Env">Param!$M$3:$M$18</definedName>
    <definedName name="Férié" localSheetId="5">'Archives Param'!$B$3:$B$35</definedName>
    <definedName name="Férié">Param!$B$3:$B$35</definedName>
    <definedName name="Phase" localSheetId="5">'Archives Param'!$I$3:$I$15</definedName>
    <definedName name="Phase">Param!$I$3:$I$15</definedName>
    <definedName name="Projet" localSheetId="5">'Archives Param'!$E$3:$E$74</definedName>
    <definedName name="Projet">Param!$E$3:$E$59</definedName>
    <definedName name="Sprints" localSheetId="5">'Archives Param'!$V$1:$W$20</definedName>
    <definedName name="Sprints">Param!$V$1:$W$20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9" l="1"/>
  <c r="B20" i="6" l="1"/>
  <c r="B16" i="6"/>
  <c r="B14" i="6"/>
  <c r="E3" i="3" l="1"/>
  <c r="F3" i="3" l="1"/>
  <c r="G3" i="3" s="1"/>
  <c r="H3" i="3" s="1"/>
  <c r="I3" i="3" s="1"/>
  <c r="J3" i="3" s="1"/>
  <c r="K3" i="3" s="1"/>
  <c r="L3" i="3" s="1"/>
  <c r="M3" i="3" s="1"/>
  <c r="N3" i="3" s="1"/>
  <c r="O3" i="3" s="1"/>
  <c r="P3" i="3" s="1"/>
  <c r="Q3" i="3" s="1"/>
  <c r="R3" i="3" s="1"/>
  <c r="S3" i="3" s="1"/>
  <c r="T3" i="3" s="1"/>
  <c r="U3" i="3" s="1"/>
  <c r="V3" i="3" s="1"/>
  <c r="W3" i="3" s="1"/>
  <c r="X3" i="3" s="1"/>
  <c r="Y3" i="3" s="1"/>
  <c r="Z3" i="3" s="1"/>
  <c r="AA3" i="3" s="1"/>
  <c r="AB3" i="3" s="1"/>
  <c r="AC3" i="3" s="1"/>
  <c r="AD3" i="3" s="1"/>
  <c r="AE3" i="3" s="1"/>
  <c r="AF3" i="3" s="1"/>
  <c r="AG3" i="3" s="1"/>
  <c r="AH3" i="3" s="1"/>
  <c r="AI3" i="3" s="1"/>
  <c r="AJ3" i="3" s="1"/>
  <c r="AK3" i="3" s="1"/>
  <c r="AL3" i="3" s="1"/>
  <c r="AM3" i="3" s="1"/>
  <c r="AN3" i="3" s="1"/>
  <c r="AO3" i="3" s="1"/>
  <c r="AP3" i="3" s="1"/>
  <c r="AQ3" i="3" s="1"/>
  <c r="AR3" i="3" s="1"/>
  <c r="AS3" i="3" s="1"/>
  <c r="AT3" i="3" s="1"/>
  <c r="AU3" i="3" s="1"/>
  <c r="AV3" i="3" s="1"/>
  <c r="AW3" i="3" s="1"/>
  <c r="AX3" i="3" s="1"/>
  <c r="AY3" i="3" s="1"/>
  <c r="AZ3" i="3" s="1"/>
  <c r="BA3" i="3" s="1"/>
  <c r="BB3" i="3" s="1"/>
  <c r="BC3" i="3" s="1"/>
  <c r="BD3" i="3" s="1"/>
  <c r="BE3" i="3" s="1"/>
  <c r="BF3" i="3" s="1"/>
  <c r="BG3" i="3" s="1"/>
  <c r="BH3" i="3" s="1"/>
  <c r="BI3" i="3" s="1"/>
  <c r="BJ3" i="3" s="1"/>
  <c r="BK3" i="3" s="1"/>
  <c r="BL3" i="3" s="1"/>
  <c r="BM3" i="3" s="1"/>
  <c r="BN3" i="3" s="1"/>
  <c r="BO3" i="3" s="1"/>
  <c r="BP3" i="3" s="1"/>
  <c r="BQ3" i="3" s="1"/>
  <c r="BR3" i="3" s="1"/>
  <c r="BS3" i="3" s="1"/>
  <c r="BT3" i="3" s="1"/>
  <c r="BU3" i="3" s="1"/>
  <c r="BV3" i="3" s="1"/>
  <c r="BW3" i="3" s="1"/>
  <c r="BX3" i="3" s="1"/>
  <c r="BY3" i="3" s="1"/>
  <c r="BZ3" i="3" s="1"/>
  <c r="CA3" i="3" s="1"/>
  <c r="CB3" i="3" s="1"/>
  <c r="CC3" i="3" s="1"/>
  <c r="CD3" i="3" s="1"/>
  <c r="CE3" i="3" s="1"/>
  <c r="CF3" i="3" s="1"/>
  <c r="CG3" i="3" s="1"/>
  <c r="CH3" i="3" s="1"/>
  <c r="CI3" i="3" s="1"/>
  <c r="CJ3" i="3" s="1"/>
  <c r="CK3" i="3" s="1"/>
  <c r="CL3" i="3" s="1"/>
  <c r="CM3" i="3" s="1"/>
  <c r="CN3" i="3" s="1"/>
  <c r="CO3" i="3" s="1"/>
  <c r="CP3" i="3" s="1"/>
  <c r="CQ3" i="3" s="1"/>
  <c r="CR3" i="3" s="1"/>
  <c r="CS3" i="3" s="1"/>
  <c r="CT3" i="3" s="1"/>
  <c r="CU3" i="3" s="1"/>
  <c r="CV3" i="3" s="1"/>
  <c r="CW3" i="3" s="1"/>
  <c r="CX3" i="3" s="1"/>
  <c r="CY3" i="3" s="1"/>
  <c r="CZ3" i="3" s="1"/>
  <c r="DA3" i="3" s="1"/>
  <c r="DB3" i="3" s="1"/>
  <c r="DC3" i="3" s="1"/>
  <c r="DD3" i="3" s="1"/>
  <c r="DE3" i="3" s="1"/>
  <c r="DF3" i="3" s="1"/>
  <c r="DG3" i="3" s="1"/>
  <c r="DH3" i="3" s="1"/>
  <c r="DI3" i="3" s="1"/>
  <c r="DJ3" i="3" s="1"/>
  <c r="DK3" i="3" s="1"/>
  <c r="DL3" i="3" s="1"/>
  <c r="DM3" i="3" s="1"/>
  <c r="DN3" i="3" s="1"/>
  <c r="DO3" i="3" s="1"/>
  <c r="DP3" i="3" s="1"/>
  <c r="DQ3" i="3" s="1"/>
  <c r="DR3" i="3" s="1"/>
  <c r="DS3" i="3" s="1"/>
  <c r="DT3" i="3" s="1"/>
  <c r="DU3" i="3" s="1"/>
  <c r="DV3" i="3" s="1"/>
  <c r="DW3" i="3" s="1"/>
  <c r="DX3" i="3" s="1"/>
  <c r="DY3" i="3" s="1"/>
  <c r="DZ3" i="3" s="1"/>
  <c r="EA3" i="3" s="1"/>
  <c r="EB3" i="3" s="1"/>
  <c r="EC3" i="3" s="1"/>
  <c r="ED3" i="3" s="1"/>
  <c r="EE3" i="3" s="1"/>
  <c r="EF3" i="3" s="1"/>
  <c r="EG3" i="3" s="1"/>
  <c r="EH3" i="3" s="1"/>
  <c r="EI3" i="3" s="1"/>
  <c r="EJ3" i="3" s="1"/>
  <c r="EK3" i="3" s="1"/>
  <c r="EL3" i="3" s="1"/>
  <c r="EM3" i="3" s="1"/>
  <c r="EN3" i="3" s="1"/>
  <c r="EO3" i="3" s="1"/>
  <c r="EP3" i="3" s="1"/>
  <c r="EQ3" i="3" s="1"/>
  <c r="ER3" i="3" s="1"/>
  <c r="ES3" i="3" s="1"/>
  <c r="ET3" i="3" s="1"/>
  <c r="EU3" i="3" s="1"/>
  <c r="EV3" i="3" s="1"/>
  <c r="EW3" i="3" s="1"/>
  <c r="EX3" i="3" s="1"/>
  <c r="EY3" i="3" s="1"/>
  <c r="EZ3" i="3" s="1"/>
  <c r="FA3" i="3" s="1"/>
  <c r="FB3" i="3" s="1"/>
  <c r="FC3" i="3" s="1"/>
  <c r="FD3" i="3" s="1"/>
  <c r="FE3" i="3" s="1"/>
  <c r="FF3" i="3" s="1"/>
  <c r="FG3" i="3" s="1"/>
  <c r="FH3" i="3" s="1"/>
  <c r="FI3" i="3" s="1"/>
  <c r="FJ3" i="3" s="1"/>
  <c r="FK3" i="3" s="1"/>
  <c r="FL3" i="3" s="1"/>
  <c r="FM3" i="3" s="1"/>
  <c r="FN3" i="3" s="1"/>
  <c r="FO3" i="3" s="1"/>
  <c r="FP3" i="3" s="1"/>
  <c r="FQ3" i="3" s="1"/>
  <c r="FR3" i="3" s="1"/>
  <c r="FS3" i="3" s="1"/>
  <c r="FT3" i="3" s="1"/>
  <c r="FU3" i="3" s="1"/>
  <c r="FV3" i="3" s="1"/>
  <c r="FW3" i="3" s="1"/>
  <c r="FX3" i="3" s="1"/>
  <c r="FY3" i="3" s="1"/>
  <c r="FZ3" i="3" s="1"/>
  <c r="GA3" i="3" s="1"/>
  <c r="GB3" i="3" s="1"/>
  <c r="GC3" i="3" s="1"/>
  <c r="GD3" i="3" s="1"/>
  <c r="GE3" i="3" s="1"/>
  <c r="GF3" i="3" s="1"/>
  <c r="GG3" i="3" s="1"/>
  <c r="GH3" i="3" s="1"/>
  <c r="GI3" i="3" s="1"/>
  <c r="GJ3" i="3" s="1"/>
  <c r="GK3" i="3" s="1"/>
  <c r="GL3" i="3" s="1"/>
  <c r="GM3" i="3" s="1"/>
  <c r="GN3" i="3" s="1"/>
  <c r="GO3" i="3" s="1"/>
  <c r="GP3" i="3" s="1"/>
  <c r="GQ3" i="3" s="1"/>
  <c r="GR3" i="3" s="1"/>
  <c r="GS3" i="3" s="1"/>
  <c r="GT3" i="3" s="1"/>
  <c r="GU3" i="3" s="1"/>
  <c r="GV3" i="3" s="1"/>
  <c r="GW3" i="3" s="1"/>
  <c r="GX3" i="3" s="1"/>
  <c r="GY3" i="3" s="1"/>
  <c r="GZ3" i="3" s="1"/>
  <c r="HA3" i="3" s="1"/>
  <c r="HB3" i="3" s="1"/>
  <c r="HC3" i="3" s="1"/>
  <c r="HD3" i="3" s="1"/>
  <c r="HE3" i="3" s="1"/>
  <c r="HF3" i="3" s="1"/>
  <c r="HG3" i="3" s="1"/>
  <c r="HH3" i="3" s="1"/>
  <c r="HI3" i="3" s="1"/>
  <c r="HJ3" i="3" s="1"/>
  <c r="HK3" i="3" s="1"/>
  <c r="HL3" i="3" s="1"/>
  <c r="HM3" i="3" s="1"/>
  <c r="HN3" i="3" s="1"/>
  <c r="HO3" i="3" s="1"/>
  <c r="HP3" i="3" s="1"/>
  <c r="HQ3" i="3" s="1"/>
  <c r="HR3" i="3" s="1"/>
  <c r="HS3" i="3" s="1"/>
  <c r="HT3" i="3" s="1"/>
  <c r="HU3" i="3" s="1"/>
  <c r="HV3" i="3" s="1"/>
  <c r="HW3" i="3" s="1"/>
  <c r="HX3" i="3" s="1"/>
  <c r="HY3" i="3" s="1"/>
  <c r="HZ3" i="3" s="1"/>
  <c r="IA3" i="3" s="1"/>
  <c r="IB3" i="3" s="1"/>
  <c r="IC3" i="3" s="1"/>
  <c r="ID3" i="3" s="1"/>
  <c r="IE3" i="3" s="1"/>
  <c r="IF3" i="3" s="1"/>
  <c r="IG3" i="3" s="1"/>
  <c r="IH3" i="3" s="1"/>
  <c r="II3" i="3" s="1"/>
  <c r="IJ3" i="3" s="1"/>
  <c r="IK3" i="3" s="1"/>
  <c r="IL3" i="3" s="1"/>
  <c r="IM3" i="3" s="1"/>
  <c r="IN3" i="3" s="1"/>
  <c r="IO3" i="3" s="1"/>
  <c r="IP3" i="3" s="1"/>
  <c r="IQ3" i="3" s="1"/>
  <c r="IR3" i="3" s="1"/>
  <c r="IS3" i="3" s="1"/>
  <c r="IT3" i="3" s="1"/>
  <c r="IU3" i="3" s="1"/>
  <c r="IV3" i="3" s="1"/>
  <c r="IW3" i="3" s="1"/>
  <c r="IX3" i="3" s="1"/>
  <c r="IY3" i="3" s="1"/>
  <c r="IZ3" i="3" s="1"/>
  <c r="JA3" i="3" s="1"/>
  <c r="JB3" i="3" s="1"/>
  <c r="JC3" i="3" s="1"/>
  <c r="JD3" i="3" s="1"/>
  <c r="JE3" i="3" s="1"/>
  <c r="JF3" i="3" s="1"/>
  <c r="JG3" i="3" s="1"/>
  <c r="JH3" i="3" s="1"/>
  <c r="JI3" i="3" s="1"/>
  <c r="JJ3" i="3" s="1"/>
  <c r="JK3" i="3" s="1"/>
  <c r="JL3" i="3" s="1"/>
  <c r="JM3" i="3" s="1"/>
  <c r="JN3" i="3" s="1"/>
  <c r="JO3" i="3" s="1"/>
  <c r="JP3" i="3" s="1"/>
  <c r="JQ3" i="3" s="1"/>
  <c r="JR3" i="3" s="1"/>
  <c r="JS3" i="3" s="1"/>
  <c r="JT3" i="3" s="1"/>
  <c r="JU3" i="3" s="1"/>
  <c r="JV3" i="3" s="1"/>
  <c r="JW3" i="3" s="1"/>
  <c r="JX3" i="3" s="1"/>
  <c r="JY3" i="3" s="1"/>
  <c r="JZ3" i="3" s="1"/>
  <c r="KA3" i="3" s="1"/>
  <c r="KB3" i="3" s="1"/>
  <c r="KC3" i="3" s="1"/>
  <c r="KD3" i="3" s="1"/>
  <c r="KE3" i="3" s="1"/>
  <c r="KF3" i="3" s="1"/>
  <c r="KG3" i="3" s="1"/>
  <c r="KH3" i="3" s="1"/>
  <c r="KI3" i="3" s="1"/>
  <c r="KJ3" i="3" s="1"/>
  <c r="KK3" i="3" s="1"/>
  <c r="KL3" i="3" s="1"/>
  <c r="KM3" i="3" s="1"/>
  <c r="KN3" i="3" s="1"/>
  <c r="KO3" i="3" s="1"/>
  <c r="KP3" i="3" s="1"/>
  <c r="KQ3" i="3" s="1"/>
  <c r="KR3" i="3" s="1"/>
  <c r="KS3" i="3" s="1"/>
  <c r="KT3" i="3" s="1"/>
  <c r="KU3" i="3" s="1"/>
  <c r="KV3" i="3" s="1"/>
  <c r="C1" i="2"/>
  <c r="B2" i="9" l="1"/>
  <c r="B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FOISSY Philippe</author>
  </authors>
  <commentList>
    <comment ref="B18" authorId="0" shapeId="0" xr:uid="{00000000-0006-0000-0000-000001000000}">
      <text>
        <r>
          <rPr>
            <b/>
            <sz val="9"/>
            <color indexed="81"/>
            <rFont val="Tahoma"/>
            <family val="2"/>
          </rPr>
          <t>FOISSY Philippe:</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FOISSY Philippe</author>
  </authors>
  <commentList>
    <comment ref="M1" authorId="0" shapeId="0" xr:uid="{A61FC9F8-6634-40A2-A529-E566AAA0A092}">
      <text>
        <r>
          <rPr>
            <b/>
            <sz val="9"/>
            <color indexed="81"/>
            <rFont val="Tahoma"/>
            <family val="2"/>
          </rPr>
          <t>FOISSY Philippe:</t>
        </r>
        <r>
          <rPr>
            <sz val="9"/>
            <color indexed="81"/>
            <rFont val="Tahoma"/>
            <family val="2"/>
          </rPr>
          <t xml:space="preserve">
Si c'est vide c'est une Indispo
Si c'est V1 ça concerne l'utilisation de l'environnement de la première Version de l'année
Si c'est V2 ça concerne l'utilisation de l'environnement de la deuxième Version de l'année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FOISSY Philippe</author>
  </authors>
  <commentList>
    <comment ref="C4" authorId="0" shapeId="0" xr:uid="{2F0A93D6-A64C-402D-BA55-E13D6448EE58}">
      <text>
        <r>
          <rPr>
            <sz val="9"/>
            <color indexed="81"/>
            <rFont val="Tahoma"/>
            <family val="2"/>
          </rPr>
          <t>DEV10</t>
        </r>
      </text>
    </comment>
    <comment ref="C5" authorId="0" shapeId="0" xr:uid="{A97F44E1-60F5-45AC-9695-A62C5106482A}">
      <text>
        <r>
          <rPr>
            <sz val="9"/>
            <color indexed="81"/>
            <rFont val="Tahoma"/>
            <family val="2"/>
          </rPr>
          <t>DEV9</t>
        </r>
      </text>
    </comment>
    <comment ref="V5" authorId="0" shapeId="0" xr:uid="{71AE486A-2027-41B3-98D2-36123D5744E0}">
      <text>
        <r>
          <rPr>
            <sz val="9"/>
            <color indexed="81"/>
            <rFont val="Tahoma"/>
            <family val="2"/>
          </rPr>
          <t>Refresh PTF</t>
        </r>
      </text>
    </comment>
    <comment ref="CC5" authorId="0" shapeId="0" xr:uid="{DDC21020-3E2A-4A91-BE82-EDF17779CA33}">
      <text>
        <r>
          <rPr>
            <sz val="9"/>
            <color indexed="81"/>
            <rFont val="Tahoma"/>
            <family val="2"/>
          </rPr>
          <t>Mig V26.1</t>
        </r>
      </text>
    </comment>
    <comment ref="C6" authorId="0" shapeId="0" xr:uid="{B210484C-FBAF-48E4-AE98-B3EC4D53F420}">
      <text>
        <r>
          <rPr>
            <sz val="9"/>
            <color indexed="81"/>
            <rFont val="Tahoma"/>
            <family val="2"/>
          </rPr>
          <t>RHV</t>
        </r>
      </text>
    </comment>
    <comment ref="AH6" authorId="0" shapeId="0" xr:uid="{CB59EC51-0618-4885-9F4F-C8C42F0014FA}">
      <text>
        <r>
          <rPr>
            <sz val="9"/>
            <color indexed="81"/>
            <rFont val="Tahoma"/>
            <family val="2"/>
          </rPr>
          <t>Redirection RI/RJ à confirmer</t>
        </r>
      </text>
    </comment>
    <comment ref="CF6" authorId="0" shapeId="0" xr:uid="{C448DE5C-D7A1-4F84-B690-B98E62C4F5EF}">
      <text>
        <r>
          <rPr>
            <sz val="9"/>
            <color indexed="81"/>
            <rFont val="Tahoma"/>
            <family val="2"/>
          </rPr>
          <t>Mig V26.1</t>
        </r>
      </text>
    </comment>
    <comment ref="C7" authorId="0" shapeId="0" xr:uid="{230384F7-E1C3-4922-AA78-89539E799268}">
      <text>
        <r>
          <rPr>
            <sz val="9"/>
            <color indexed="81"/>
            <rFont val="Tahoma"/>
            <family val="2"/>
          </rPr>
          <t>FORM</t>
        </r>
      </text>
    </comment>
    <comment ref="BS7" authorId="0" shapeId="0" xr:uid="{020576AE-1BD8-4D32-83C5-2FFA5D561A0A}">
      <text>
        <r>
          <rPr>
            <sz val="9"/>
            <color indexed="81"/>
            <rFont val="Tahoma"/>
            <family val="2"/>
          </rPr>
          <t>Tests techniques: Redirection à confirmer sur RIFR putôt que TSFR</t>
        </r>
      </text>
    </comment>
    <comment ref="C8" authorId="0" shapeId="0" xr:uid="{01E9F9D7-68D4-4A27-A92A-A2A63CF415C4}">
      <text>
        <r>
          <rPr>
            <sz val="9"/>
            <color indexed="81"/>
            <rFont val="Tahoma"/>
            <family val="2"/>
          </rPr>
          <t>FORM</t>
        </r>
      </text>
    </comment>
    <comment ref="EN8" authorId="0" shapeId="0" xr:uid="{7B535BBF-DE4D-4A45-88E3-1F5A01612BEC}">
      <text>
        <r>
          <rPr>
            <sz val="9"/>
            <color indexed="81"/>
            <rFont val="Tahoma"/>
            <family val="2"/>
          </rPr>
          <t xml:space="preserve"> Redirection à confirmer sur RIFR putôt que TSFR</t>
        </r>
      </text>
    </comment>
    <comment ref="C9" authorId="0" shapeId="0" xr:uid="{2C7EA026-04FB-453D-95DA-9B4EFA61EA63}">
      <text>
        <r>
          <rPr>
            <sz val="9"/>
            <color indexed="81"/>
            <rFont val="Tahoma"/>
            <family val="2"/>
          </rPr>
          <t>PPRD</t>
        </r>
      </text>
    </comment>
    <comment ref="C10" authorId="0" shapeId="0" xr:uid="{2B499CC6-D2F5-4792-9EEF-05376688B289}">
      <text>
        <r>
          <rPr>
            <sz val="9"/>
            <color indexed="81"/>
            <rFont val="Tahoma"/>
            <family val="2"/>
          </rPr>
          <t>PPRD</t>
        </r>
      </text>
    </comment>
    <comment ref="C11" authorId="0" shapeId="0" xr:uid="{0C36A14E-C71D-4975-B0EA-3744EAC1E2F9}">
      <text>
        <r>
          <rPr>
            <sz val="9"/>
            <color indexed="81"/>
            <rFont val="Tahoma"/>
            <family val="2"/>
          </rPr>
          <t>PRD</t>
        </r>
      </text>
    </comment>
    <comment ref="BL11" authorId="0" shapeId="0" xr:uid="{CD1D59C0-53FD-47C9-B523-2FC1849ABAD8}">
      <text>
        <r>
          <rPr>
            <sz val="9"/>
            <color indexed="81"/>
            <rFont val="Tahoma"/>
            <family val="2"/>
          </rPr>
          <t>PSI</t>
        </r>
      </text>
    </comment>
    <comment ref="KO11" authorId="0" shapeId="0" xr:uid="{3408CB0C-AA85-4DF4-91EE-0131BA80F15F}">
      <text>
        <r>
          <rPr>
            <sz val="9"/>
            <color indexed="81"/>
            <rFont val="Tahoma"/>
            <family val="2"/>
          </rPr>
          <t>PSI</t>
        </r>
      </text>
    </comment>
    <comment ref="C12" authorId="0" shapeId="0" xr:uid="{BE66C2DE-2D44-4AC5-AC28-5ABAA59DB59D}">
      <text>
        <r>
          <rPr>
            <sz val="9"/>
            <color indexed="81"/>
            <rFont val="Tahoma"/>
            <family val="2"/>
          </rPr>
          <t>PRD</t>
        </r>
      </text>
    </comment>
    <comment ref="BL12" authorId="0" shapeId="0" xr:uid="{56549B9F-B766-4CB9-83EE-065EB16721E4}">
      <text>
        <r>
          <rPr>
            <sz val="9"/>
            <color indexed="81"/>
            <rFont val="Tahoma"/>
            <family val="2"/>
          </rPr>
          <t>PSI</t>
        </r>
      </text>
    </comment>
    <comment ref="KO12" authorId="0" shapeId="0" xr:uid="{4B12128C-8024-4F57-88C3-5A5810751E95}">
      <text>
        <r>
          <rPr>
            <sz val="9"/>
            <color indexed="81"/>
            <rFont val="Tahoma"/>
            <family val="2"/>
          </rPr>
          <t>PSI</t>
        </r>
      </text>
    </comment>
    <comment ref="C13" authorId="0" shapeId="0" xr:uid="{3E64D77F-9545-4EE0-AE4A-602BF7C0D101}">
      <text>
        <r>
          <rPr>
            <sz val="9"/>
            <color indexed="81"/>
            <rFont val="Tahoma"/>
            <family val="2"/>
          </rPr>
          <t>PRD</t>
        </r>
      </text>
    </comment>
    <comment ref="BL13" authorId="0" shapeId="0" xr:uid="{2DB45B98-FF3E-44C4-88A7-86B2082377F5}">
      <text>
        <r>
          <rPr>
            <sz val="9"/>
            <color indexed="81"/>
            <rFont val="Tahoma"/>
            <family val="2"/>
          </rPr>
          <t>PSI</t>
        </r>
      </text>
    </comment>
    <comment ref="KO13" authorId="0" shapeId="0" xr:uid="{9C8AE0FE-D7C9-4909-9FC0-28B344B08631}">
      <text>
        <r>
          <rPr>
            <sz val="9"/>
            <color indexed="81"/>
            <rFont val="Tahoma"/>
            <family val="2"/>
          </rPr>
          <t>PSI</t>
        </r>
      </text>
    </comment>
    <comment ref="C14" authorId="0" shapeId="0" xr:uid="{DBD63544-0A33-4D59-AEBD-C35CEB5B686B}">
      <text>
        <r>
          <rPr>
            <sz val="9"/>
            <color indexed="81"/>
            <rFont val="Tahoma"/>
            <family val="2"/>
          </rPr>
          <t>DEV10</t>
        </r>
      </text>
    </comment>
    <comment ref="Y14" authorId="0" shapeId="0" xr:uid="{3672F496-2B3B-44EF-ACD3-CBCE66FE428F}">
      <text>
        <r>
          <rPr>
            <sz val="9"/>
            <color indexed="81"/>
            <rFont val="Tahoma"/>
            <family val="2"/>
          </rPr>
          <t>Dev 10 pour test aut0</t>
        </r>
      </text>
    </comment>
    <comment ref="C15" authorId="0" shapeId="0" xr:uid="{2BF32284-F510-4F76-98EE-39A11156B90A}">
      <text>
        <r>
          <rPr>
            <sz val="9"/>
            <color indexed="81"/>
            <rFont val="Tahoma"/>
            <family val="2"/>
          </rPr>
          <t>DEV9</t>
        </r>
      </text>
    </comment>
    <comment ref="V15" authorId="0" shapeId="0" xr:uid="{9C61C37D-5E1C-448B-8341-70AF2FC49D60}">
      <text>
        <r>
          <rPr>
            <sz val="9"/>
            <color indexed="81"/>
            <rFont val="Tahoma"/>
            <family val="2"/>
          </rPr>
          <t>Refresh PTF</t>
        </r>
      </text>
    </comment>
    <comment ref="CC15" authorId="0" shapeId="0" xr:uid="{1D6FF152-3B5D-4038-9FAA-22360C9D1404}">
      <text>
        <r>
          <rPr>
            <sz val="9"/>
            <color indexed="81"/>
            <rFont val="Tahoma"/>
            <family val="2"/>
          </rPr>
          <t>Mig V26.1</t>
        </r>
      </text>
    </comment>
    <comment ref="C16" authorId="0" shapeId="0" xr:uid="{9EA18A16-6122-48F2-9910-36229B51D086}">
      <text>
        <r>
          <rPr>
            <sz val="9"/>
            <color indexed="81"/>
            <rFont val="Tahoma"/>
            <family val="2"/>
          </rPr>
          <t>RHV</t>
        </r>
      </text>
    </comment>
    <comment ref="BL16" authorId="0" shapeId="0" xr:uid="{AF8C6456-F9AD-45A7-920D-7DE2974812CA}">
      <text>
        <r>
          <rPr>
            <sz val="9"/>
            <color indexed="81"/>
            <rFont val="Tahoma"/>
            <family val="2"/>
          </rPr>
          <t>Pas de CDT, pas d'Acc</t>
        </r>
      </text>
    </comment>
    <comment ref="CF16" authorId="0" shapeId="0" xr:uid="{614D47C9-198A-47A3-9AE8-6F5D723FC990}">
      <text>
        <r>
          <rPr>
            <sz val="9"/>
            <color indexed="81"/>
            <rFont val="Tahoma"/>
            <family val="2"/>
          </rPr>
          <t>Mig V26.1</t>
        </r>
      </text>
    </comment>
    <comment ref="C17" authorId="0" shapeId="0" xr:uid="{F33B9A21-CA8D-4E3F-A947-47334A99E3FC}">
      <text>
        <r>
          <rPr>
            <sz val="9"/>
            <color indexed="81"/>
            <rFont val="Tahoma"/>
            <family val="2"/>
          </rPr>
          <t>HOM</t>
        </r>
      </text>
    </comment>
    <comment ref="M17" authorId="0" shapeId="0" xr:uid="{A291B480-71B5-484C-832D-10C5ED450FB9}">
      <text>
        <r>
          <rPr>
            <sz val="9"/>
            <color indexed="81"/>
            <rFont val="Tahoma"/>
            <family val="2"/>
          </rPr>
          <t>Refresh PTF avec TFA 2025</t>
        </r>
      </text>
    </comment>
    <comment ref="S17" authorId="0" shapeId="0" xr:uid="{4EA61EF7-EC9D-4FCD-B3B1-AFD649707950}">
      <text>
        <r>
          <rPr>
            <sz val="9"/>
            <color indexed="81"/>
            <rFont val="Tahoma"/>
            <family val="2"/>
          </rPr>
          <t>Mig V26.1</t>
        </r>
      </text>
    </comment>
    <comment ref="AF17" authorId="0" shapeId="0" xr:uid="{9294784B-C738-4BE5-81E4-9460168ABB6E}">
      <text>
        <r>
          <rPr>
            <sz val="9"/>
            <color indexed="81"/>
            <rFont val="Tahoma"/>
            <family val="2"/>
          </rPr>
          <t>V26.1</t>
        </r>
      </text>
    </comment>
    <comment ref="C18" authorId="0" shapeId="0" xr:uid="{1F4C35A5-42B1-4721-8E65-588AE798B7F1}">
      <text>
        <r>
          <rPr>
            <sz val="9"/>
            <color indexed="81"/>
            <rFont val="Tahoma"/>
            <family val="2"/>
          </rPr>
          <t>PPRD</t>
        </r>
      </text>
    </comment>
    <comment ref="C19" authorId="0" shapeId="0" xr:uid="{8F01C20B-AD03-4B93-87B1-E47319D59A9A}">
      <text>
        <r>
          <rPr>
            <sz val="9"/>
            <color indexed="81"/>
            <rFont val="Tahoma"/>
            <family val="2"/>
          </rPr>
          <t>PRD</t>
        </r>
      </text>
    </comment>
    <comment ref="BL19" authorId="0" shapeId="0" xr:uid="{ED0B265D-C1AC-40D6-A120-6FBCB1E40825}">
      <text>
        <r>
          <rPr>
            <sz val="9"/>
            <color indexed="81"/>
            <rFont val="Tahoma"/>
            <family val="2"/>
          </rPr>
          <t>PSI</t>
        </r>
      </text>
    </comment>
    <comment ref="EH19" authorId="0" shapeId="0" xr:uid="{4F47D104-A599-4CB2-8CF0-465F0AEE43E9}">
      <text>
        <r>
          <rPr>
            <sz val="9"/>
            <color indexed="81"/>
            <rFont val="Tahoma"/>
            <family val="2"/>
          </rPr>
          <t>Hyp, souhaitée</t>
        </r>
      </text>
    </comment>
    <comment ref="KO19" authorId="0" shapeId="0" xr:uid="{970A7C23-B4A5-407E-9A10-9F93A87088BD}">
      <text>
        <r>
          <rPr>
            <sz val="9"/>
            <color indexed="81"/>
            <rFont val="Tahoma"/>
            <family val="2"/>
          </rPr>
          <t>PSI</t>
        </r>
      </text>
    </comment>
    <comment ref="C20" authorId="0" shapeId="0" xr:uid="{CCD99EC1-E60C-4549-B69C-E5D06A4A39F5}">
      <text>
        <r>
          <rPr>
            <sz val="9"/>
            <color indexed="81"/>
            <rFont val="Tahoma"/>
            <family val="2"/>
          </rPr>
          <t>PRD</t>
        </r>
      </text>
    </comment>
    <comment ref="AX20" authorId="0" shapeId="0" xr:uid="{A9E86ED0-4731-420A-8BC8-A50DBCABB154}">
      <text>
        <r>
          <rPr>
            <sz val="9"/>
            <color indexed="81"/>
            <rFont val="Tahoma"/>
            <family val="2"/>
          </rPr>
          <t>Généralisation sur NPC et MaBanque</t>
        </r>
      </text>
    </comment>
    <comment ref="BL20" authorId="0" shapeId="0" xr:uid="{D1710CA9-1F92-444D-ACBD-A4E6F2323742}">
      <text>
        <r>
          <rPr>
            <sz val="9"/>
            <color indexed="81"/>
            <rFont val="Tahoma"/>
            <family val="2"/>
          </rPr>
          <t>PSI</t>
        </r>
      </text>
    </comment>
    <comment ref="KO20" authorId="0" shapeId="0" xr:uid="{1844F121-A92C-4E8C-9E0A-5AEF6015D1AC}">
      <text>
        <r>
          <rPr>
            <sz val="9"/>
            <color indexed="81"/>
            <rFont val="Tahoma"/>
            <family val="2"/>
          </rPr>
          <t>PSI</t>
        </r>
      </text>
    </comment>
    <comment ref="C21" authorId="0" shapeId="0" xr:uid="{EC2973B2-5793-46B4-9888-080E91E3D2F2}">
      <text>
        <r>
          <rPr>
            <sz val="9"/>
            <color indexed="81"/>
            <rFont val="Tahoma"/>
            <family val="2"/>
          </rPr>
          <t>DEV9</t>
        </r>
      </text>
    </comment>
    <comment ref="V21" authorId="0" shapeId="0" xr:uid="{E17C2CCB-141F-437E-8896-516DE3281619}">
      <text>
        <r>
          <rPr>
            <sz val="9"/>
            <color indexed="81"/>
            <rFont val="Tahoma"/>
            <family val="2"/>
          </rPr>
          <t>Refresh PTF</t>
        </r>
      </text>
    </comment>
    <comment ref="BD21" authorId="0" shapeId="0" xr:uid="{37A16FE7-EFF6-4264-AF38-F35DE5278E29}">
      <text>
        <r>
          <rPr>
            <sz val="9"/>
            <color indexed="81"/>
            <rFont val="Tahoma"/>
            <family val="2"/>
          </rPr>
          <t>V2</t>
        </r>
      </text>
    </comment>
    <comment ref="CC21" authorId="0" shapeId="0" xr:uid="{37E4709D-254F-40BE-A2FC-EF5AAF9B8536}">
      <text>
        <r>
          <rPr>
            <sz val="9"/>
            <color indexed="81"/>
            <rFont val="Tahoma"/>
            <family val="2"/>
          </rPr>
          <t>Mig V26.1</t>
        </r>
      </text>
    </comment>
    <comment ref="C22" authorId="0" shapeId="0" xr:uid="{B8BFA29A-DC45-4907-836D-0B93DEFDDC8C}">
      <text>
        <r>
          <rPr>
            <sz val="9"/>
            <color indexed="81"/>
            <rFont val="Tahoma"/>
            <family val="2"/>
          </rPr>
          <t>DEV9</t>
        </r>
      </text>
    </comment>
    <comment ref="V22" authorId="0" shapeId="0" xr:uid="{8DA4160A-83C1-4525-B0BA-A1B9766439B3}">
      <text>
        <r>
          <rPr>
            <sz val="9"/>
            <color indexed="81"/>
            <rFont val="Tahoma"/>
            <family val="2"/>
          </rPr>
          <t>Refresh PTF</t>
        </r>
      </text>
    </comment>
    <comment ref="CC22" authorId="0" shapeId="0" xr:uid="{192B9337-16B3-418D-A079-09AB954259D7}">
      <text>
        <r>
          <rPr>
            <sz val="9"/>
            <color indexed="81"/>
            <rFont val="Tahoma"/>
            <family val="2"/>
          </rPr>
          <t>Mig V26.1</t>
        </r>
      </text>
    </comment>
    <comment ref="CW22" authorId="0" shapeId="0" xr:uid="{73275045-DF90-4A58-A3DC-052268EB3141}">
      <text>
        <r>
          <rPr>
            <sz val="9"/>
            <color indexed="81"/>
            <rFont val="Tahoma"/>
            <family val="2"/>
          </rPr>
          <t>V3</t>
        </r>
      </text>
    </comment>
    <comment ref="C23" authorId="0" shapeId="0" xr:uid="{77C6A654-E62A-46C2-9D5F-3EC356AE5E54}">
      <text>
        <r>
          <rPr>
            <sz val="9"/>
            <color indexed="81"/>
            <rFont val="Tahoma"/>
            <family val="2"/>
          </rPr>
          <t>DEV9</t>
        </r>
      </text>
    </comment>
    <comment ref="V23" authorId="0" shapeId="0" xr:uid="{64455B24-ABD8-407D-A949-87B8D80245DF}">
      <text>
        <r>
          <rPr>
            <sz val="9"/>
            <color indexed="81"/>
            <rFont val="Tahoma"/>
            <family val="2"/>
          </rPr>
          <t>Refresh PTF</t>
        </r>
      </text>
    </comment>
    <comment ref="CC23" authorId="0" shapeId="0" xr:uid="{302E1784-D749-4183-8BD8-4EB0FD6C11FB}">
      <text>
        <r>
          <rPr>
            <sz val="9"/>
            <color indexed="81"/>
            <rFont val="Tahoma"/>
            <family val="2"/>
          </rPr>
          <t>Mig V26.1</t>
        </r>
      </text>
    </comment>
    <comment ref="EN23" authorId="0" shapeId="0" xr:uid="{602FFB87-11CB-408E-87D3-07AE976FAAB2}">
      <text>
        <r>
          <rPr>
            <sz val="9"/>
            <color indexed="81"/>
            <rFont val="Tahoma"/>
            <family val="2"/>
          </rPr>
          <t>V4</t>
        </r>
      </text>
    </comment>
    <comment ref="C24" authorId="0" shapeId="0" xr:uid="{E9D43E1D-3DB4-4E9A-B85F-C4253A01F840}">
      <text>
        <r>
          <rPr>
            <sz val="9"/>
            <color indexed="81"/>
            <rFont val="Tahoma"/>
            <family val="2"/>
          </rPr>
          <t>QUAL</t>
        </r>
      </text>
    </comment>
    <comment ref="E24" authorId="0" shapeId="0" xr:uid="{0BA892C8-DF9E-4B54-826E-9F0330EC149A}">
      <text>
        <r>
          <rPr>
            <sz val="9"/>
            <color indexed="81"/>
            <rFont val="Tahoma"/>
            <family val="2"/>
          </rPr>
          <t>v0 +v1</t>
        </r>
      </text>
    </comment>
    <comment ref="C25" authorId="0" shapeId="0" xr:uid="{A4EDF177-FF7C-44D4-B6B9-83F9CF539ADD}">
      <text>
        <r>
          <rPr>
            <sz val="9"/>
            <color indexed="81"/>
            <rFont val="Tahoma"/>
            <family val="2"/>
          </rPr>
          <t>INT</t>
        </r>
      </text>
    </comment>
    <comment ref="E25" authorId="0" shapeId="0" xr:uid="{7FA5D19C-E591-4961-86E1-0969CB4BBFFB}">
      <text>
        <r>
          <rPr>
            <sz val="9"/>
            <color indexed="81"/>
            <rFont val="Tahoma"/>
            <family val="2"/>
          </rPr>
          <t>Mig V26.1</t>
        </r>
      </text>
    </comment>
    <comment ref="K25" authorId="0" shapeId="0" xr:uid="{9E9265C6-50DE-497C-A791-DE863BBAF094}">
      <text>
        <r>
          <rPr>
            <sz val="9"/>
            <color indexed="81"/>
            <rFont val="Tahoma"/>
            <family val="2"/>
          </rPr>
          <t>V26.1</t>
        </r>
      </text>
    </comment>
    <comment ref="AX25" authorId="0" shapeId="0" xr:uid="{411B7627-D2F9-4E7D-ADB5-FB2A7E91A9BA}">
      <text>
        <r>
          <rPr>
            <sz val="9"/>
            <color indexed="81"/>
            <rFont val="Tahoma"/>
            <family val="2"/>
          </rPr>
          <t>v0 +v1</t>
        </r>
      </text>
    </comment>
    <comment ref="C26" authorId="0" shapeId="0" xr:uid="{AD5CEE80-A21D-4128-9ECA-CF57316FD596}">
      <text>
        <r>
          <rPr>
            <sz val="9"/>
            <color indexed="81"/>
            <rFont val="Tahoma"/>
            <family val="2"/>
          </rPr>
          <t>RECUT</t>
        </r>
      </text>
    </comment>
    <comment ref="R26" authorId="0" shapeId="0" xr:uid="{24A92E40-3A09-450C-B99A-2D040B008BB1}">
      <text>
        <r>
          <rPr>
            <sz val="9"/>
            <color indexed="81"/>
            <rFont val="Tahoma"/>
            <family val="2"/>
          </rPr>
          <t>Mig V26.1</t>
        </r>
      </text>
    </comment>
    <comment ref="AB26" authorId="0" shapeId="0" xr:uid="{A8E13E5B-8A5E-4DE5-A39B-22803D1CCA38}">
      <text>
        <r>
          <rPr>
            <sz val="9"/>
            <color indexed="81"/>
            <rFont val="Tahoma"/>
            <family val="2"/>
          </rPr>
          <t>v0 +v1</t>
        </r>
      </text>
    </comment>
    <comment ref="C27" authorId="0" shapeId="0" xr:uid="{C7712A71-7A6A-47BE-80FA-E558A9D35941}">
      <text>
        <r>
          <rPr>
            <sz val="9"/>
            <color indexed="81"/>
            <rFont val="Tahoma"/>
            <family val="2"/>
          </rPr>
          <t>RHV</t>
        </r>
      </text>
    </comment>
    <comment ref="BN27" authorId="0" shapeId="0" xr:uid="{E60068D3-3F50-4C23-8011-DE671ADFE6A9}">
      <text>
        <r>
          <rPr>
            <sz val="9"/>
            <color indexed="81"/>
            <rFont val="Tahoma"/>
            <family val="2"/>
          </rPr>
          <t>V2</t>
        </r>
      </text>
    </comment>
    <comment ref="CF27" authorId="0" shapeId="0" xr:uid="{CE47BBD2-94FF-467B-A185-1D95B9183C54}">
      <text>
        <r>
          <rPr>
            <sz val="9"/>
            <color indexed="81"/>
            <rFont val="Tahoma"/>
            <family val="2"/>
          </rPr>
          <t>Mig V26.1</t>
        </r>
      </text>
    </comment>
    <comment ref="C28" authorId="0" shapeId="0" xr:uid="{CCD9391E-D9FA-4F24-A17E-235FE29D9E2E}">
      <text>
        <r>
          <rPr>
            <sz val="9"/>
            <color indexed="81"/>
            <rFont val="Tahoma"/>
            <family val="2"/>
          </rPr>
          <t>HOM</t>
        </r>
      </text>
    </comment>
    <comment ref="M28" authorId="0" shapeId="0" xr:uid="{FDBA3C71-1BBC-4483-ADB9-0EB23F0FB655}">
      <text>
        <r>
          <rPr>
            <sz val="9"/>
            <color indexed="81"/>
            <rFont val="Tahoma"/>
            <family val="2"/>
          </rPr>
          <t>Refresh PTF avec TFA 2025</t>
        </r>
      </text>
    </comment>
    <comment ref="S28" authorId="0" shapeId="0" xr:uid="{8C26E4A4-1D5E-41F0-AC20-6172D5D64754}">
      <text>
        <r>
          <rPr>
            <sz val="9"/>
            <color indexed="81"/>
            <rFont val="Tahoma"/>
            <family val="2"/>
          </rPr>
          <t>Mig V26.1</t>
        </r>
      </text>
    </comment>
    <comment ref="AF28" authorId="0" shapeId="0" xr:uid="{723B0A73-142C-48D0-A1D0-2A3E0B92FDE4}">
      <text>
        <r>
          <rPr>
            <sz val="9"/>
            <color indexed="81"/>
            <rFont val="Tahoma"/>
            <family val="2"/>
          </rPr>
          <t>V26.1</t>
        </r>
      </text>
    </comment>
    <comment ref="C29" authorId="0" shapeId="0" xr:uid="{03A2365B-017A-44BE-8F3B-851C83AF730A}">
      <text>
        <r>
          <rPr>
            <sz val="9"/>
            <color indexed="81"/>
            <rFont val="Tahoma"/>
            <family val="2"/>
          </rPr>
          <t>HOM</t>
        </r>
      </text>
    </comment>
    <comment ref="M29" authorId="0" shapeId="0" xr:uid="{9B451703-9B7F-476D-926C-829B06B5BF3A}">
      <text>
        <r>
          <rPr>
            <sz val="9"/>
            <color indexed="81"/>
            <rFont val="Tahoma"/>
            <family val="2"/>
          </rPr>
          <t>Refresh PTF avec TFA 2025</t>
        </r>
      </text>
    </comment>
    <comment ref="S29" authorId="0" shapeId="0" xr:uid="{C2ED9330-77E7-4E0C-9559-454AF057767F}">
      <text>
        <r>
          <rPr>
            <sz val="9"/>
            <color indexed="81"/>
            <rFont val="Tahoma"/>
            <family val="2"/>
          </rPr>
          <t>Mig V26.1</t>
        </r>
      </text>
    </comment>
    <comment ref="AF29" authorId="0" shapeId="0" xr:uid="{054A167B-9477-45BA-AD91-9E5C011F44B4}">
      <text>
        <r>
          <rPr>
            <sz val="9"/>
            <color indexed="81"/>
            <rFont val="Tahoma"/>
            <family val="2"/>
          </rPr>
          <t>V26.1</t>
        </r>
      </text>
    </comment>
    <comment ref="CU29" authorId="0" shapeId="0" xr:uid="{0692C582-EBE6-479B-B32B-144AE292F1B2}">
      <text>
        <r>
          <rPr>
            <sz val="9"/>
            <color indexed="81"/>
            <rFont val="Tahoma"/>
            <family val="2"/>
          </rPr>
          <t>V2</t>
        </r>
      </text>
    </comment>
    <comment ref="C30" authorId="0" shapeId="0" xr:uid="{3E31303E-4543-499C-9440-AF0BD8A83007}">
      <text>
        <r>
          <rPr>
            <sz val="9"/>
            <color indexed="81"/>
            <rFont val="Tahoma"/>
            <family val="2"/>
          </rPr>
          <t>HOM</t>
        </r>
      </text>
    </comment>
    <comment ref="M30" authorId="0" shapeId="0" xr:uid="{2538DCD8-E255-409E-9BC2-053D62544EC7}">
      <text>
        <r>
          <rPr>
            <sz val="9"/>
            <color indexed="81"/>
            <rFont val="Tahoma"/>
            <family val="2"/>
          </rPr>
          <t>Refresh PTF avec TFA 2025</t>
        </r>
      </text>
    </comment>
    <comment ref="S30" authorId="0" shapeId="0" xr:uid="{74566C2B-EBD6-4DF7-B36A-974A933A6388}">
      <text>
        <r>
          <rPr>
            <sz val="9"/>
            <color indexed="81"/>
            <rFont val="Tahoma"/>
            <family val="2"/>
          </rPr>
          <t>Mig V26.1</t>
        </r>
      </text>
    </comment>
    <comment ref="AF30" authorId="0" shapeId="0" xr:uid="{01EA11D9-028C-4E01-B62D-0EA83F9AA48E}">
      <text>
        <r>
          <rPr>
            <sz val="9"/>
            <color indexed="81"/>
            <rFont val="Tahoma"/>
            <family val="2"/>
          </rPr>
          <t>V26.1</t>
        </r>
      </text>
    </comment>
    <comment ref="EH30" authorId="0" shapeId="0" xr:uid="{B1182411-DDCD-4077-B24B-9B2F0F7DDD3A}">
      <text>
        <r>
          <rPr>
            <sz val="9"/>
            <color indexed="81"/>
            <rFont val="Tahoma"/>
            <family val="2"/>
          </rPr>
          <t>V3</t>
        </r>
      </text>
    </comment>
    <comment ref="C31" authorId="0" shapeId="0" xr:uid="{C0F64CDC-03DB-474E-AAE0-A2DB66A49B4A}">
      <text>
        <r>
          <rPr>
            <sz val="9"/>
            <color indexed="81"/>
            <rFont val="Tahoma"/>
            <family val="2"/>
          </rPr>
          <t>PPRD</t>
        </r>
      </text>
    </comment>
    <comment ref="CP31" authorId="0" shapeId="0" xr:uid="{E3D17A7B-CFD7-4017-9754-BCC711D5E104}">
      <text>
        <r>
          <rPr>
            <sz val="9"/>
            <color indexed="81"/>
            <rFont val="Tahoma"/>
            <family val="2"/>
          </rPr>
          <t>v0 +v1</t>
        </r>
      </text>
    </comment>
    <comment ref="C32" authorId="0" shapeId="0" xr:uid="{D17E92A8-865E-41C2-95F9-E1E6858A9263}">
      <text>
        <r>
          <rPr>
            <sz val="9"/>
            <color indexed="81"/>
            <rFont val="Tahoma"/>
            <family val="2"/>
          </rPr>
          <t>PPRD</t>
        </r>
      </text>
    </comment>
    <comment ref="EV32" authorId="0" shapeId="0" xr:uid="{B25BFE64-FE68-4F9F-8F94-5D76AE6ECEC1}">
      <text>
        <r>
          <rPr>
            <sz val="9"/>
            <color indexed="81"/>
            <rFont val="Tahoma"/>
            <family val="2"/>
          </rPr>
          <t>V3</t>
        </r>
      </text>
    </comment>
    <comment ref="C33" authorId="0" shapeId="0" xr:uid="{7D07EC9B-B5CD-406B-9C9A-D3BBA9745F40}">
      <text>
        <r>
          <rPr>
            <sz val="9"/>
            <color indexed="81"/>
            <rFont val="Tahoma"/>
            <family val="2"/>
          </rPr>
          <t>PPRD</t>
        </r>
      </text>
    </comment>
    <comment ref="FR33" authorId="0" shapeId="0" xr:uid="{6ECDCD11-97A9-4702-9571-3B5BC47358BB}">
      <text>
        <r>
          <rPr>
            <sz val="9"/>
            <color indexed="81"/>
            <rFont val="Tahoma"/>
            <family val="2"/>
          </rPr>
          <t>V4</t>
        </r>
      </text>
    </comment>
    <comment ref="C34" authorId="0" shapeId="0" xr:uid="{A1D63B72-1117-45A9-AF52-6340A8977A33}">
      <text>
        <r>
          <rPr>
            <sz val="9"/>
            <color indexed="81"/>
            <rFont val="Tahoma"/>
            <family val="2"/>
          </rPr>
          <t>PRD</t>
        </r>
      </text>
    </comment>
    <comment ref="BL34" authorId="0" shapeId="0" xr:uid="{AE43BB4D-AAFF-4E7A-AB48-038793713EC5}">
      <text>
        <r>
          <rPr>
            <sz val="9"/>
            <color indexed="81"/>
            <rFont val="Tahoma"/>
            <family val="2"/>
          </rPr>
          <t>PSI</t>
        </r>
      </text>
    </comment>
    <comment ref="CW34" authorId="0" shapeId="0" xr:uid="{7CC0C8B2-A1BF-47C2-8351-AF9A308A679B}">
      <text>
        <r>
          <rPr>
            <sz val="9"/>
            <color indexed="81"/>
            <rFont val="Tahoma"/>
            <family val="2"/>
          </rPr>
          <t>v0 +v1</t>
        </r>
      </text>
    </comment>
    <comment ref="KO34" authorId="0" shapeId="0" xr:uid="{9B0D773E-9D50-4B59-A552-AEBF046A4FE5}">
      <text>
        <r>
          <rPr>
            <sz val="9"/>
            <color indexed="81"/>
            <rFont val="Tahoma"/>
            <family val="2"/>
          </rPr>
          <t>PSI</t>
        </r>
      </text>
    </comment>
    <comment ref="C35" authorId="0" shapeId="0" xr:uid="{4590D93A-A320-4B82-ACCE-281FAB5BD039}">
      <text>
        <r>
          <rPr>
            <sz val="9"/>
            <color indexed="81"/>
            <rFont val="Tahoma"/>
            <family val="2"/>
          </rPr>
          <t>PRD</t>
        </r>
      </text>
    </comment>
    <comment ref="BL35" authorId="0" shapeId="0" xr:uid="{5AC83BD4-713B-407A-815C-2415B5372CC8}">
      <text>
        <r>
          <rPr>
            <sz val="9"/>
            <color indexed="81"/>
            <rFont val="Tahoma"/>
            <family val="2"/>
          </rPr>
          <t>PSI</t>
        </r>
      </text>
    </comment>
    <comment ref="EH35" authorId="0" shapeId="0" xr:uid="{3C11E476-6724-4292-B5D6-990B1C495BC4}">
      <text>
        <r>
          <rPr>
            <sz val="9"/>
            <color indexed="81"/>
            <rFont val="Tahoma"/>
            <family val="2"/>
          </rPr>
          <t>V2</t>
        </r>
      </text>
    </comment>
    <comment ref="KO35" authorId="0" shapeId="0" xr:uid="{636EB4E9-0587-40CE-BDE6-73456530416C}">
      <text>
        <r>
          <rPr>
            <sz val="9"/>
            <color indexed="81"/>
            <rFont val="Tahoma"/>
            <family val="2"/>
          </rPr>
          <t>PSI</t>
        </r>
      </text>
    </comment>
    <comment ref="C36" authorId="0" shapeId="0" xr:uid="{61F08AFC-D929-42C5-9A4B-E4B5A51011A4}">
      <text>
        <r>
          <rPr>
            <sz val="9"/>
            <color indexed="81"/>
            <rFont val="Tahoma"/>
            <family val="2"/>
          </rPr>
          <t>PRD</t>
        </r>
      </text>
    </comment>
    <comment ref="BL36" authorId="0" shapeId="0" xr:uid="{09636A62-8B11-409F-A317-C1DEEF3E6534}">
      <text>
        <r>
          <rPr>
            <sz val="9"/>
            <color indexed="81"/>
            <rFont val="Tahoma"/>
            <family val="2"/>
          </rPr>
          <t>PSI</t>
        </r>
      </text>
    </comment>
    <comment ref="EO36" authorId="0" shapeId="0" xr:uid="{BA1D18BC-B103-433F-80B8-082A7F4CDD55}">
      <text>
        <r>
          <rPr>
            <sz val="9"/>
            <color indexed="81"/>
            <rFont val="Tahoma"/>
            <family val="2"/>
          </rPr>
          <t>Activation pour pilote</t>
        </r>
      </text>
    </comment>
    <comment ref="KO36" authorId="0" shapeId="0" xr:uid="{8FA3AF75-0B5D-417A-81EB-74689CC5ABF4}">
      <text>
        <r>
          <rPr>
            <sz val="9"/>
            <color indexed="81"/>
            <rFont val="Tahoma"/>
            <family val="2"/>
          </rPr>
          <t>PSI</t>
        </r>
      </text>
    </comment>
    <comment ref="C37" authorId="0" shapeId="0" xr:uid="{B10D9A33-8618-4EEF-850E-5DDEA37C4A57}">
      <text>
        <r>
          <rPr>
            <sz val="9"/>
            <color indexed="81"/>
            <rFont val="Tahoma"/>
            <family val="2"/>
          </rPr>
          <t>PRD</t>
        </r>
      </text>
    </comment>
    <comment ref="BL37" authorId="0" shapeId="0" xr:uid="{8CA3654C-06CB-46D7-8803-5FD1179DA304}">
      <text>
        <r>
          <rPr>
            <sz val="9"/>
            <color indexed="81"/>
            <rFont val="Tahoma"/>
            <family val="2"/>
          </rPr>
          <t>PSI</t>
        </r>
      </text>
    </comment>
    <comment ref="FC37" authorId="0" shapeId="0" xr:uid="{563721A6-B589-463A-AFCE-496BE17F7C33}">
      <text>
        <r>
          <rPr>
            <sz val="9"/>
            <color indexed="81"/>
            <rFont val="Tahoma"/>
            <family val="2"/>
          </rPr>
          <t>V3</t>
        </r>
      </text>
    </comment>
    <comment ref="KO37" authorId="0" shapeId="0" xr:uid="{1DE35399-22A4-46DB-B115-972CBBDACFF8}">
      <text>
        <r>
          <rPr>
            <sz val="9"/>
            <color indexed="81"/>
            <rFont val="Tahoma"/>
            <family val="2"/>
          </rPr>
          <t>PSI</t>
        </r>
      </text>
    </comment>
    <comment ref="C38" authorId="0" shapeId="0" xr:uid="{BC9C41D2-4C50-44EE-8097-E5640A998636}">
      <text>
        <r>
          <rPr>
            <sz val="9"/>
            <color indexed="81"/>
            <rFont val="Tahoma"/>
            <family val="2"/>
          </rPr>
          <t>PRD</t>
        </r>
      </text>
    </comment>
    <comment ref="BL38" authorId="0" shapeId="0" xr:uid="{B7120C14-2BA4-4E72-9EAD-12F4E7542AF7}">
      <text>
        <r>
          <rPr>
            <sz val="9"/>
            <color indexed="81"/>
            <rFont val="Tahoma"/>
            <family val="2"/>
          </rPr>
          <t>PSI</t>
        </r>
      </text>
    </comment>
    <comment ref="FX38" authorId="0" shapeId="0" xr:uid="{599FA7DA-CB79-4620-A7FC-8700F43A6E8A}">
      <text>
        <r>
          <rPr>
            <sz val="9"/>
            <color indexed="81"/>
            <rFont val="Tahoma"/>
            <family val="2"/>
          </rPr>
          <t xml:space="preserve">Géné </t>
        </r>
      </text>
    </comment>
    <comment ref="KO38" authorId="0" shapeId="0" xr:uid="{5C81AEC2-5223-4418-8EBF-3E8B4F5FD3D8}">
      <text>
        <r>
          <rPr>
            <sz val="9"/>
            <color indexed="81"/>
            <rFont val="Tahoma"/>
            <family val="2"/>
          </rPr>
          <t>PSI</t>
        </r>
      </text>
    </comment>
    <comment ref="C39" authorId="0" shapeId="0" xr:uid="{1325136C-5F86-4C38-9610-510EF10902CB}">
      <text>
        <r>
          <rPr>
            <sz val="9"/>
            <color indexed="81"/>
            <rFont val="Tahoma"/>
            <family val="2"/>
          </rPr>
          <t>RHV</t>
        </r>
      </text>
    </comment>
    <comment ref="E39" authorId="0" shapeId="0" xr:uid="{CBF855F7-578B-4176-9CEE-9F9E3DE9B26C}">
      <text>
        <r>
          <rPr>
            <sz val="9"/>
            <color indexed="81"/>
            <rFont val="Tahoma"/>
            <family val="2"/>
          </rPr>
          <t>Pas de besoin de tests : déploiement pour garantie de l'intégrité</t>
        </r>
      </text>
    </comment>
    <comment ref="CF39" authorId="0" shapeId="0" xr:uid="{D9F9629D-8E63-4471-832E-A797903123CA}">
      <text>
        <r>
          <rPr>
            <sz val="9"/>
            <color indexed="81"/>
            <rFont val="Tahoma"/>
            <family val="2"/>
          </rPr>
          <t>Mig V26.1</t>
        </r>
      </text>
    </comment>
    <comment ref="C40" authorId="0" shapeId="0" xr:uid="{F93C8D75-0BC8-42D4-B528-98F15B7C89E6}">
      <text>
        <r>
          <rPr>
            <sz val="9"/>
            <color indexed="81"/>
            <rFont val="Tahoma"/>
            <family val="2"/>
          </rPr>
          <t>HOM</t>
        </r>
      </text>
    </comment>
    <comment ref="M40" authorId="0" shapeId="0" xr:uid="{C58C4EDC-DCE1-45F9-B633-C5E44D728320}">
      <text>
        <r>
          <rPr>
            <sz val="9"/>
            <color indexed="81"/>
            <rFont val="Tahoma"/>
            <family val="2"/>
          </rPr>
          <t>Refresh PTF avec TFA 2025</t>
        </r>
      </text>
    </comment>
    <comment ref="S40" authorId="0" shapeId="0" xr:uid="{0EF12279-35DB-4C49-B083-7B16B755B4CC}">
      <text>
        <r>
          <rPr>
            <sz val="9"/>
            <color indexed="81"/>
            <rFont val="Tahoma"/>
            <family val="2"/>
          </rPr>
          <t>Mig V26.1</t>
        </r>
      </text>
    </comment>
    <comment ref="AF40" authorId="0" shapeId="0" xr:uid="{91CCDF62-4D14-40CF-812E-EDEE7E6FF885}">
      <text>
        <r>
          <rPr>
            <sz val="9"/>
            <color indexed="81"/>
            <rFont val="Tahoma"/>
            <family val="2"/>
          </rPr>
          <t>V26.1</t>
        </r>
      </text>
    </comment>
    <comment ref="C41" authorId="0" shapeId="0" xr:uid="{080F8D19-D6FD-43AC-AEE9-2EF657B6E9CF}">
      <text>
        <r>
          <rPr>
            <sz val="9"/>
            <color indexed="81"/>
            <rFont val="Tahoma"/>
            <family val="2"/>
          </rPr>
          <t>PPRD</t>
        </r>
      </text>
    </comment>
    <comment ref="F41" authorId="0" shapeId="0" xr:uid="{8DDDABE8-0351-4E96-AE00-ABE7967CDE99}">
      <text>
        <r>
          <rPr>
            <sz val="9"/>
            <color indexed="81"/>
            <rFont val="Tahoma"/>
            <family val="2"/>
          </rPr>
          <t>Répétition du geste : pas de besoin de Tests de Charge</t>
        </r>
      </text>
    </comment>
    <comment ref="C42" authorId="0" shapeId="0" xr:uid="{D77D25F8-B031-4F0A-83A2-7B1F7CCD2986}">
      <text>
        <r>
          <rPr>
            <sz val="9"/>
            <color indexed="81"/>
            <rFont val="Tahoma"/>
            <family val="2"/>
          </rPr>
          <t>PRD</t>
        </r>
      </text>
    </comment>
    <comment ref="L42" authorId="0" shapeId="0" xr:uid="{48C160D6-208C-46C2-806F-36A962A29341}">
      <text>
        <r>
          <rPr>
            <sz val="9"/>
            <color indexed="81"/>
            <rFont val="Tahoma"/>
            <family val="2"/>
          </rPr>
          <t>MeP W5 + MeP CA-TS concomitante (R2 =&gt; R3)</t>
        </r>
      </text>
    </comment>
    <comment ref="BL42" authorId="0" shapeId="0" xr:uid="{058E8739-07B6-4353-9B10-7807388BC149}">
      <text>
        <r>
          <rPr>
            <sz val="9"/>
            <color indexed="81"/>
            <rFont val="Tahoma"/>
            <family val="2"/>
          </rPr>
          <t>PSI</t>
        </r>
      </text>
    </comment>
    <comment ref="KO42" authorId="0" shapeId="0" xr:uid="{112EDE46-CC2A-44D3-A379-A1EC3DC3ACD6}">
      <text>
        <r>
          <rPr>
            <sz val="9"/>
            <color indexed="81"/>
            <rFont val="Tahoma"/>
            <family val="2"/>
          </rPr>
          <t>PSI</t>
        </r>
      </text>
    </comment>
    <comment ref="C43" authorId="0" shapeId="0" xr:uid="{CB70C833-BA55-4C39-8416-0B01037B839B}">
      <text>
        <r>
          <rPr>
            <sz val="9"/>
            <color indexed="81"/>
            <rFont val="Tahoma"/>
            <family val="2"/>
          </rPr>
          <t>HOM</t>
        </r>
      </text>
    </comment>
    <comment ref="M43" authorId="0" shapeId="0" xr:uid="{E9BAD1FA-B02E-468D-AF94-F387D7A1538A}">
      <text>
        <r>
          <rPr>
            <sz val="9"/>
            <color indexed="81"/>
            <rFont val="Tahoma"/>
            <family val="2"/>
          </rPr>
          <t>Refresh PTF avec TFA 2025</t>
        </r>
      </text>
    </comment>
    <comment ref="S43" authorId="0" shapeId="0" xr:uid="{875D02DA-9881-4C59-8DC7-1EAEA0D49F95}">
      <text>
        <r>
          <rPr>
            <sz val="9"/>
            <color indexed="81"/>
            <rFont val="Tahoma"/>
            <family val="2"/>
          </rPr>
          <t>Mig V26.1</t>
        </r>
      </text>
    </comment>
    <comment ref="AF43" authorId="0" shapeId="0" xr:uid="{9687CA6E-0221-4BE3-A1E9-51A7998BC052}">
      <text>
        <r>
          <rPr>
            <sz val="9"/>
            <color indexed="81"/>
            <rFont val="Tahoma"/>
            <family val="2"/>
          </rPr>
          <t>V26.1</t>
        </r>
      </text>
    </comment>
    <comment ref="C44" authorId="0" shapeId="0" xr:uid="{9ED755E1-2A36-4877-BB1A-384009DF1E86}">
      <text>
        <r>
          <rPr>
            <sz val="9"/>
            <color indexed="81"/>
            <rFont val="Tahoma"/>
            <family val="2"/>
          </rPr>
          <t>PPRD</t>
        </r>
      </text>
    </comment>
    <comment ref="E44" authorId="0" shapeId="0" xr:uid="{6EC107B4-53C8-43B9-B662-2FAB2EF4CF4B}">
      <text>
        <r>
          <rPr>
            <sz val="9"/>
            <color indexed="81"/>
            <rFont val="Tahoma"/>
            <family val="2"/>
          </rPr>
          <t>Tests de charge et répétition du geste d'installation</t>
        </r>
      </text>
    </comment>
    <comment ref="C45" authorId="0" shapeId="0" xr:uid="{EB6A1D98-BF9F-4A50-96AA-C84BCABD3AC7}">
      <text>
        <r>
          <rPr>
            <sz val="9"/>
            <color indexed="81"/>
            <rFont val="Tahoma"/>
            <family val="2"/>
          </rPr>
          <t>PRD</t>
        </r>
      </text>
    </comment>
    <comment ref="L45" authorId="0" shapeId="0" xr:uid="{E68A8398-8DD1-44A3-A56B-467DD4F18BF4}">
      <text>
        <r>
          <rPr>
            <sz val="9"/>
            <color indexed="81"/>
            <rFont val="Tahoma"/>
            <family val="2"/>
          </rPr>
          <t>MeP PY/P8(?)</t>
        </r>
      </text>
    </comment>
    <comment ref="BL45" authorId="0" shapeId="0" xr:uid="{45A379A0-B84C-45D2-95A2-C2116FCE17D7}">
      <text>
        <r>
          <rPr>
            <sz val="9"/>
            <color indexed="81"/>
            <rFont val="Tahoma"/>
            <family val="2"/>
          </rPr>
          <t>PSI</t>
        </r>
      </text>
    </comment>
    <comment ref="KO45" authorId="0" shapeId="0" xr:uid="{A3EE09DB-B90A-43F8-8AA8-0EBC08BFD571}">
      <text>
        <r>
          <rPr>
            <sz val="9"/>
            <color indexed="81"/>
            <rFont val="Tahoma"/>
            <family val="2"/>
          </rPr>
          <t>PSI</t>
        </r>
      </text>
    </comment>
    <comment ref="C46" authorId="0" shapeId="0" xr:uid="{E3646016-58AD-48CD-B94C-E2BF993499E7}">
      <text>
        <r>
          <rPr>
            <sz val="9"/>
            <color indexed="81"/>
            <rFont val="Tahoma"/>
            <family val="2"/>
          </rPr>
          <t>HOM</t>
        </r>
      </text>
    </comment>
    <comment ref="M46" authorId="0" shapeId="0" xr:uid="{D277DD93-F557-4E2F-A358-52E209879F9A}">
      <text>
        <r>
          <rPr>
            <sz val="9"/>
            <color indexed="81"/>
            <rFont val="Tahoma"/>
            <family val="2"/>
          </rPr>
          <t>Refresh PTF avec TFA 2025</t>
        </r>
      </text>
    </comment>
    <comment ref="S46" authorId="0" shapeId="0" xr:uid="{FB52223C-CB35-4677-B59B-6DD98BA5A725}">
      <text>
        <r>
          <rPr>
            <sz val="9"/>
            <color indexed="81"/>
            <rFont val="Tahoma"/>
            <family val="2"/>
          </rPr>
          <t>Mig V26.1</t>
        </r>
      </text>
    </comment>
    <comment ref="AF46" authorId="0" shapeId="0" xr:uid="{30E87A29-0A32-4309-8BDF-0DF7A9F48321}">
      <text>
        <r>
          <rPr>
            <sz val="9"/>
            <color indexed="81"/>
            <rFont val="Tahoma"/>
            <family val="2"/>
          </rPr>
          <t>V26.1</t>
        </r>
      </text>
    </comment>
    <comment ref="C47" authorId="0" shapeId="0" xr:uid="{4D0D4374-C058-4376-92E2-A615A4CC778F}">
      <text>
        <r>
          <rPr>
            <sz val="9"/>
            <color indexed="81"/>
            <rFont val="Tahoma"/>
            <family val="2"/>
          </rPr>
          <t>RHV</t>
        </r>
      </text>
    </comment>
    <comment ref="CF47" authorId="0" shapeId="0" xr:uid="{640437C7-6C39-4FE2-962B-8634EA50CA06}">
      <text>
        <r>
          <rPr>
            <sz val="9"/>
            <color indexed="81"/>
            <rFont val="Tahoma"/>
            <family val="2"/>
          </rPr>
          <t>Mig V26.1</t>
        </r>
      </text>
    </comment>
    <comment ref="C48" authorId="0" shapeId="0" xr:uid="{C17E5EEE-AA13-4563-A464-7AD213C63B2C}">
      <text>
        <r>
          <rPr>
            <sz val="9"/>
            <color indexed="81"/>
            <rFont val="Tahoma"/>
            <family val="2"/>
          </rPr>
          <t>HOM</t>
        </r>
      </text>
    </comment>
    <comment ref="E48" authorId="0" shapeId="0" xr:uid="{E5193AF6-1AA3-4414-9E37-BDE4FE4B3803}">
      <text>
        <r>
          <rPr>
            <sz val="9"/>
            <color indexed="81"/>
            <rFont val="Tahoma"/>
            <family val="2"/>
          </rPr>
          <t>Pas de tests THR</t>
        </r>
      </text>
    </comment>
    <comment ref="M48" authorId="0" shapeId="0" xr:uid="{B2F0A065-9108-4C44-A4D6-61D7CC61A07A}">
      <text>
        <r>
          <rPr>
            <sz val="9"/>
            <color indexed="81"/>
            <rFont val="Tahoma"/>
            <family val="2"/>
          </rPr>
          <t>Refresh PTF avec TFA 2025</t>
        </r>
      </text>
    </comment>
    <comment ref="S48" authorId="0" shapeId="0" xr:uid="{223217AB-B0E2-46C9-8E16-8231668DE8EE}">
      <text>
        <r>
          <rPr>
            <sz val="9"/>
            <color indexed="81"/>
            <rFont val="Tahoma"/>
            <family val="2"/>
          </rPr>
          <t>Mig V26.1</t>
        </r>
      </text>
    </comment>
    <comment ref="AF48" authorId="0" shapeId="0" xr:uid="{0489B890-1A6E-4812-83B4-A79EA76E86CA}">
      <text>
        <r>
          <rPr>
            <sz val="9"/>
            <color indexed="81"/>
            <rFont val="Tahoma"/>
            <family val="2"/>
          </rPr>
          <t>V26.1</t>
        </r>
      </text>
    </comment>
    <comment ref="C49" authorId="0" shapeId="0" xr:uid="{15CC7A18-CE0C-4E2A-8A44-9C6F6FFFE773}">
      <text>
        <r>
          <rPr>
            <sz val="9"/>
            <color indexed="81"/>
            <rFont val="Tahoma"/>
            <family val="2"/>
          </rPr>
          <t>PPRD</t>
        </r>
      </text>
    </comment>
    <comment ref="C50" authorId="0" shapeId="0" xr:uid="{138CCF78-258E-4902-8A71-CE205083586D}">
      <text>
        <r>
          <rPr>
            <sz val="9"/>
            <color indexed="81"/>
            <rFont val="Tahoma"/>
            <family val="2"/>
          </rPr>
          <t>PRD</t>
        </r>
      </text>
    </comment>
    <comment ref="L50" authorId="0" shapeId="0" xr:uid="{0195DB9A-8064-4842-9554-34A5E9B8ADEC}">
      <text>
        <r>
          <rPr>
            <sz val="9"/>
            <color indexed="81"/>
            <rFont val="Tahoma"/>
            <family val="2"/>
          </rPr>
          <t>MeP PY (Montée de verison Angular)</t>
        </r>
      </text>
    </comment>
    <comment ref="BL50" authorId="0" shapeId="0" xr:uid="{95FB5BF5-8DB5-469E-89E7-B832C32F6B38}">
      <text>
        <r>
          <rPr>
            <sz val="9"/>
            <color indexed="81"/>
            <rFont val="Tahoma"/>
            <family val="2"/>
          </rPr>
          <t>PSI</t>
        </r>
      </text>
    </comment>
    <comment ref="KO50" authorId="0" shapeId="0" xr:uid="{5C91CD58-3AA9-412F-A505-20611BE99A66}">
      <text>
        <r>
          <rPr>
            <sz val="9"/>
            <color indexed="81"/>
            <rFont val="Tahoma"/>
            <family val="2"/>
          </rPr>
          <t>PSI</t>
        </r>
      </text>
    </comment>
    <comment ref="C51" authorId="0" shapeId="0" xr:uid="{BB139739-54F1-4164-8208-D2F6D631544C}">
      <text>
        <r>
          <rPr>
            <sz val="9"/>
            <color indexed="81"/>
            <rFont val="Tahoma"/>
            <family val="2"/>
          </rPr>
          <t>PRD</t>
        </r>
      </text>
    </comment>
    <comment ref="L51" authorId="0" shapeId="0" xr:uid="{2440DD16-3214-49C4-BB3C-E223B31E50AA}">
      <text>
        <r>
          <rPr>
            <sz val="9"/>
            <color indexed="81"/>
            <rFont val="Tahoma"/>
            <family val="2"/>
          </rPr>
          <t>MeP PY</t>
        </r>
      </text>
    </comment>
    <comment ref="BL51" authorId="0" shapeId="0" xr:uid="{AC51BCFC-5D98-40F1-A131-D6ABF02E8E9F}">
      <text>
        <r>
          <rPr>
            <sz val="9"/>
            <color indexed="81"/>
            <rFont val="Tahoma"/>
            <family val="2"/>
          </rPr>
          <t>PSI</t>
        </r>
      </text>
    </comment>
    <comment ref="KO51" authorId="0" shapeId="0" xr:uid="{74AEFA5B-3ACE-4015-8612-361DEC2B38DE}">
      <text>
        <r>
          <rPr>
            <sz val="9"/>
            <color indexed="81"/>
            <rFont val="Tahoma"/>
            <family val="2"/>
          </rPr>
          <t>PSI</t>
        </r>
      </text>
    </comment>
    <comment ref="C52" authorId="0" shapeId="0" xr:uid="{9CA524A5-89B3-4F3E-A7A7-30DE28C85E05}">
      <text>
        <r>
          <rPr>
            <sz val="9"/>
            <color indexed="81"/>
            <rFont val="Tahoma"/>
            <family val="2"/>
          </rPr>
          <t>RHV</t>
        </r>
      </text>
    </comment>
    <comment ref="E52" authorId="0" shapeId="0" xr:uid="{A408E2FA-204A-465D-B776-52BD4C567089}">
      <text>
        <r>
          <rPr>
            <sz val="9"/>
            <color indexed="81"/>
            <rFont val="Tahoma"/>
            <family val="2"/>
          </rPr>
          <t>Pas de besoin de tests : déploiement pour garantie de l'intégrité</t>
        </r>
      </text>
    </comment>
    <comment ref="CF52" authorId="0" shapeId="0" xr:uid="{033C4E4D-E291-4251-B24C-5F83FA0FA318}">
      <text>
        <r>
          <rPr>
            <sz val="9"/>
            <color indexed="81"/>
            <rFont val="Tahoma"/>
            <family val="2"/>
          </rPr>
          <t>Mig V26.1</t>
        </r>
      </text>
    </comment>
    <comment ref="C53" authorId="0" shapeId="0" xr:uid="{249B6328-DBF4-4EDA-91B9-F47260391CE0}">
      <text>
        <r>
          <rPr>
            <sz val="9"/>
            <color indexed="81"/>
            <rFont val="Tahoma"/>
            <family val="2"/>
          </rPr>
          <t>HOM</t>
        </r>
      </text>
    </comment>
    <comment ref="M53" authorId="0" shapeId="0" xr:uid="{CC410C77-B846-46B4-BE67-C747FBA11479}">
      <text>
        <r>
          <rPr>
            <sz val="9"/>
            <color indexed="81"/>
            <rFont val="Tahoma"/>
            <family val="2"/>
          </rPr>
          <t>Refresh PTF avec TFA 2025</t>
        </r>
      </text>
    </comment>
    <comment ref="S53" authorId="0" shapeId="0" xr:uid="{88612224-EC75-4E25-8135-6C1423D3DB10}">
      <text>
        <r>
          <rPr>
            <sz val="9"/>
            <color indexed="81"/>
            <rFont val="Tahoma"/>
            <family val="2"/>
          </rPr>
          <t>Mig V26.1</t>
        </r>
      </text>
    </comment>
    <comment ref="AF53" authorId="0" shapeId="0" xr:uid="{258C6312-5855-4CCE-A707-C4345F042DDC}">
      <text>
        <r>
          <rPr>
            <sz val="9"/>
            <color indexed="81"/>
            <rFont val="Tahoma"/>
            <family val="2"/>
          </rPr>
          <t>V26.1</t>
        </r>
      </text>
    </comment>
    <comment ref="C54" authorId="0" shapeId="0" xr:uid="{588DA357-EC8E-4AB5-AE1E-F610BB3D4219}">
      <text>
        <r>
          <rPr>
            <sz val="9"/>
            <color indexed="81"/>
            <rFont val="Tahoma"/>
            <family val="2"/>
          </rPr>
          <t>PPRD</t>
        </r>
      </text>
    </comment>
    <comment ref="C55" authorId="0" shapeId="0" xr:uid="{CAC3C9F9-4781-4490-9CB7-8BAC80FECF6F}">
      <text>
        <r>
          <rPr>
            <sz val="9"/>
            <color indexed="81"/>
            <rFont val="Tahoma"/>
            <family val="2"/>
          </rPr>
          <t>PRD</t>
        </r>
      </text>
    </comment>
    <comment ref="L55" authorId="0" shapeId="0" xr:uid="{4830D751-EBA9-49D7-88DD-384F3CC78A25}">
      <text>
        <r>
          <rPr>
            <sz val="9"/>
            <color indexed="81"/>
            <rFont val="Tahoma"/>
            <family val="2"/>
          </rPr>
          <t>MeP EBX/D9 (Report de la R2 à la R3)</t>
        </r>
      </text>
    </comment>
    <comment ref="BL55" authorId="0" shapeId="0" xr:uid="{6C22545F-61E6-4628-A38A-A34732C57875}">
      <text>
        <r>
          <rPr>
            <sz val="9"/>
            <color indexed="81"/>
            <rFont val="Tahoma"/>
            <family val="2"/>
          </rPr>
          <t>PSI</t>
        </r>
      </text>
    </comment>
    <comment ref="KO55" authorId="0" shapeId="0" xr:uid="{B3E12D53-2D73-4FB4-B7F4-5AA3C11B5A03}">
      <text>
        <r>
          <rPr>
            <sz val="9"/>
            <color indexed="81"/>
            <rFont val="Tahoma"/>
            <family val="2"/>
          </rPr>
          <t>PSI</t>
        </r>
      </text>
    </comment>
    <comment ref="C56" authorId="0" shapeId="0" xr:uid="{60EFC01A-07E7-4700-B559-4449ADE5614C}">
      <text>
        <r>
          <rPr>
            <sz val="9"/>
            <color indexed="81"/>
            <rFont val="Tahoma"/>
            <family val="2"/>
          </rPr>
          <t>RHV</t>
        </r>
      </text>
    </comment>
    <comment ref="E56" authorId="0" shapeId="0" xr:uid="{5C3BB0A2-03F0-4D84-8790-50C3A6849F26}">
      <text>
        <r>
          <rPr>
            <sz val="9"/>
            <color indexed="81"/>
            <rFont val="Tahoma"/>
            <family val="2"/>
          </rPr>
          <t>Pas de tests CdT</t>
        </r>
      </text>
    </comment>
    <comment ref="CF56" authorId="0" shapeId="0" xr:uid="{7BB96F74-E8D3-4170-B313-083E1E958905}">
      <text>
        <r>
          <rPr>
            <sz val="9"/>
            <color indexed="81"/>
            <rFont val="Tahoma"/>
            <family val="2"/>
          </rPr>
          <t>Mig V26.1</t>
        </r>
      </text>
    </comment>
    <comment ref="C57" authorId="0" shapeId="0" xr:uid="{D2D0123A-4611-4E75-AE3B-6123E92E12E2}">
      <text>
        <r>
          <rPr>
            <sz val="9"/>
            <color indexed="81"/>
            <rFont val="Tahoma"/>
            <family val="2"/>
          </rPr>
          <t>HOM</t>
        </r>
      </text>
    </comment>
    <comment ref="E57" authorId="0" shapeId="0" xr:uid="{CCB58B98-7497-48E4-A592-E9FA77FE3C86}">
      <text>
        <r>
          <rPr>
            <sz val="9"/>
            <color indexed="81"/>
            <rFont val="Tahoma"/>
            <family val="2"/>
          </rPr>
          <t>Pas de tests THR</t>
        </r>
      </text>
    </comment>
    <comment ref="M57" authorId="0" shapeId="0" xr:uid="{273D5660-64BF-4BAD-9A43-1E7B7E8C763A}">
      <text>
        <r>
          <rPr>
            <sz val="9"/>
            <color indexed="81"/>
            <rFont val="Tahoma"/>
            <family val="2"/>
          </rPr>
          <t>Refresh PTF avec TFA 2025</t>
        </r>
      </text>
    </comment>
    <comment ref="S57" authorId="0" shapeId="0" xr:uid="{6EA7900B-EB3B-4ABB-8121-DAEF444E7472}">
      <text>
        <r>
          <rPr>
            <sz val="9"/>
            <color indexed="81"/>
            <rFont val="Tahoma"/>
            <family val="2"/>
          </rPr>
          <t>Mig V26.1</t>
        </r>
      </text>
    </comment>
    <comment ref="AF57" authorId="0" shapeId="0" xr:uid="{8B1300E0-04A0-4D93-9FFD-F06F5C42F3AD}">
      <text>
        <r>
          <rPr>
            <sz val="9"/>
            <color indexed="81"/>
            <rFont val="Tahoma"/>
            <family val="2"/>
          </rPr>
          <t>V26.1</t>
        </r>
      </text>
    </comment>
    <comment ref="C58" authorId="0" shapeId="0" xr:uid="{69677A39-CC3F-4299-8ABB-EF214A93F69A}">
      <text>
        <r>
          <rPr>
            <sz val="9"/>
            <color indexed="81"/>
            <rFont val="Tahoma"/>
            <family val="2"/>
          </rPr>
          <t>PPRD</t>
        </r>
      </text>
    </comment>
    <comment ref="C59" authorId="0" shapeId="0" xr:uid="{D8BD2848-64F5-4D63-985B-EF42F77F2A9B}">
      <text>
        <r>
          <rPr>
            <sz val="9"/>
            <color indexed="81"/>
            <rFont val="Tahoma"/>
            <family val="2"/>
          </rPr>
          <t>PRD</t>
        </r>
      </text>
    </comment>
    <comment ref="L59" authorId="0" shapeId="0" xr:uid="{3A2AA012-6975-4566-A801-A26F81868804}">
      <text>
        <r>
          <rPr>
            <sz val="9"/>
            <color indexed="81"/>
            <rFont val="Tahoma"/>
            <family val="2"/>
          </rPr>
          <t>MeP PY</t>
        </r>
      </text>
    </comment>
    <comment ref="BL59" authorId="0" shapeId="0" xr:uid="{DF86EBE9-2DF0-494E-ABA8-EFB231FAD44A}">
      <text>
        <r>
          <rPr>
            <sz val="9"/>
            <color indexed="81"/>
            <rFont val="Tahoma"/>
            <family val="2"/>
          </rPr>
          <t>PSI</t>
        </r>
      </text>
    </comment>
    <comment ref="KO59" authorId="0" shapeId="0" xr:uid="{FF1B58FC-359B-4248-8589-CD68BC8754B8}">
      <text>
        <r>
          <rPr>
            <sz val="9"/>
            <color indexed="81"/>
            <rFont val="Tahoma"/>
            <family val="2"/>
          </rPr>
          <t>PSI</t>
        </r>
      </text>
    </comment>
    <comment ref="C60" authorId="0" shapeId="0" xr:uid="{75824C5F-547B-4FE8-9F5F-73F127AF410A}">
      <text>
        <r>
          <rPr>
            <sz val="9"/>
            <color indexed="81"/>
            <rFont val="Tahoma"/>
            <family val="2"/>
          </rPr>
          <t>HOM</t>
        </r>
      </text>
    </comment>
    <comment ref="M60" authorId="0" shapeId="0" xr:uid="{397A85F1-0594-467F-8D88-1D6B7995FD50}">
      <text>
        <r>
          <rPr>
            <sz val="9"/>
            <color indexed="81"/>
            <rFont val="Tahoma"/>
            <family val="2"/>
          </rPr>
          <t>Refresh PTF avec TFA 2025</t>
        </r>
      </text>
    </comment>
    <comment ref="S60" authorId="0" shapeId="0" xr:uid="{87999AE3-7ABA-4D12-8ACF-F34577A49F07}">
      <text>
        <r>
          <rPr>
            <sz val="9"/>
            <color indexed="81"/>
            <rFont val="Tahoma"/>
            <family val="2"/>
          </rPr>
          <t>Mig V26.1</t>
        </r>
      </text>
    </comment>
    <comment ref="AF60" authorId="0" shapeId="0" xr:uid="{7FCF4B93-8EDA-411F-8FC2-F205951B6029}">
      <text>
        <r>
          <rPr>
            <sz val="9"/>
            <color indexed="81"/>
            <rFont val="Tahoma"/>
            <family val="2"/>
          </rPr>
          <t>V26.1</t>
        </r>
      </text>
    </comment>
    <comment ref="C61" authorId="0" shapeId="0" xr:uid="{E3F25D51-21B2-4446-A761-858293419433}">
      <text>
        <r>
          <rPr>
            <sz val="9"/>
            <color indexed="81"/>
            <rFont val="Tahoma"/>
            <family val="2"/>
          </rPr>
          <t>PPRD</t>
        </r>
      </text>
    </comment>
    <comment ref="C62" authorId="0" shapeId="0" xr:uid="{18A06DE6-0120-4BF2-B35B-385EF29CF923}">
      <text>
        <r>
          <rPr>
            <sz val="9"/>
            <color indexed="81"/>
            <rFont val="Tahoma"/>
            <family val="2"/>
          </rPr>
          <t>PRD</t>
        </r>
      </text>
    </comment>
    <comment ref="L62" authorId="0" shapeId="0" xr:uid="{30710293-71F7-4B70-A044-DEDCAD8C6B8F}">
      <text>
        <r>
          <rPr>
            <sz val="9"/>
            <color indexed="81"/>
            <rFont val="Tahoma"/>
            <family val="2"/>
          </rPr>
          <t>MeP F3/G4</t>
        </r>
      </text>
    </comment>
    <comment ref="BL62" authorId="0" shapeId="0" xr:uid="{34B1521A-1F53-4149-984D-E4D2C4D52904}">
      <text>
        <r>
          <rPr>
            <sz val="9"/>
            <color indexed="81"/>
            <rFont val="Tahoma"/>
            <family val="2"/>
          </rPr>
          <t>PSI</t>
        </r>
      </text>
    </comment>
    <comment ref="KO62" authorId="0" shapeId="0" xr:uid="{6204BEE6-6566-4A3A-9403-4B1CC946E611}">
      <text>
        <r>
          <rPr>
            <sz val="9"/>
            <color indexed="81"/>
            <rFont val="Tahoma"/>
            <family val="2"/>
          </rPr>
          <t>PSI</t>
        </r>
      </text>
    </comment>
    <comment ref="C63" authorId="0" shapeId="0" xr:uid="{0968607E-C64B-4636-B46F-B5EFDC216A1D}">
      <text>
        <r>
          <rPr>
            <sz val="9"/>
            <color indexed="81"/>
            <rFont val="Tahoma"/>
            <family val="2"/>
          </rPr>
          <t>PRD</t>
        </r>
      </text>
    </comment>
    <comment ref="AG63" authorId="0" shapeId="0" xr:uid="{1C118905-1C6A-4D91-8C57-19EDA1C8D89F}">
      <text>
        <r>
          <rPr>
            <sz val="9"/>
            <color indexed="81"/>
            <rFont val="Tahoma"/>
            <family val="2"/>
          </rPr>
          <t>MeP F3</t>
        </r>
      </text>
    </comment>
    <comment ref="BL63" authorId="0" shapeId="0" xr:uid="{52DB668D-2B0D-40BB-BD0C-AC47B189654D}">
      <text>
        <r>
          <rPr>
            <sz val="9"/>
            <color indexed="81"/>
            <rFont val="Tahoma"/>
            <family val="2"/>
          </rPr>
          <t>PSI</t>
        </r>
      </text>
    </comment>
    <comment ref="KO63" authorId="0" shapeId="0" xr:uid="{FDB7CCC1-A09C-49AE-9A42-67EAA86C92B9}">
      <text>
        <r>
          <rPr>
            <sz val="9"/>
            <color indexed="81"/>
            <rFont val="Tahoma"/>
            <family val="2"/>
          </rPr>
          <t>PSI</t>
        </r>
      </text>
    </comment>
    <comment ref="C64" authorId="0" shapeId="0" xr:uid="{0C3097E8-5247-40C7-BDF0-FD351F81973C}">
      <text>
        <r>
          <rPr>
            <sz val="9"/>
            <color indexed="81"/>
            <rFont val="Tahoma"/>
            <family val="2"/>
          </rPr>
          <t>HOM</t>
        </r>
      </text>
    </comment>
    <comment ref="M64" authorId="0" shapeId="0" xr:uid="{B78CB3A1-F68D-4FF9-87A5-6880E02DBC8D}">
      <text>
        <r>
          <rPr>
            <sz val="9"/>
            <color indexed="81"/>
            <rFont val="Tahoma"/>
            <family val="2"/>
          </rPr>
          <t>Refresh PTF avec TFA 2025</t>
        </r>
      </text>
    </comment>
    <comment ref="S64" authorId="0" shapeId="0" xr:uid="{9E68A4CB-69A0-408A-9327-DF11AF9CA04C}">
      <text>
        <r>
          <rPr>
            <sz val="9"/>
            <color indexed="81"/>
            <rFont val="Tahoma"/>
            <family val="2"/>
          </rPr>
          <t>Mig V26.1</t>
        </r>
      </text>
    </comment>
    <comment ref="AF64" authorId="0" shapeId="0" xr:uid="{F27A0B2D-974D-4E7B-985D-7235E3822996}">
      <text>
        <r>
          <rPr>
            <sz val="9"/>
            <color indexed="81"/>
            <rFont val="Tahoma"/>
            <family val="2"/>
          </rPr>
          <t>V26.1</t>
        </r>
      </text>
    </comment>
    <comment ref="C65" authorId="0" shapeId="0" xr:uid="{5863054D-0ED8-41CF-ABE7-807A951322A4}">
      <text>
        <r>
          <rPr>
            <sz val="9"/>
            <color indexed="81"/>
            <rFont val="Tahoma"/>
            <family val="2"/>
          </rPr>
          <t>PPRD</t>
        </r>
      </text>
    </comment>
    <comment ref="C66" authorId="0" shapeId="0" xr:uid="{89FB5844-040C-4547-80C0-F8DE01126950}">
      <text>
        <r>
          <rPr>
            <sz val="9"/>
            <color indexed="81"/>
            <rFont val="Tahoma"/>
            <family val="2"/>
          </rPr>
          <t>PRD</t>
        </r>
      </text>
    </comment>
    <comment ref="L66" authorId="0" shapeId="0" xr:uid="{26888A30-FE83-494B-B344-1FE39A3511EA}">
      <text>
        <r>
          <rPr>
            <sz val="9"/>
            <color indexed="81"/>
            <rFont val="Tahoma"/>
            <family val="2"/>
          </rPr>
          <t>MeP Q1/W1</t>
        </r>
      </text>
    </comment>
    <comment ref="BL66" authorId="0" shapeId="0" xr:uid="{06B1650F-D72C-4840-9218-60CF825D2BC7}">
      <text>
        <r>
          <rPr>
            <sz val="9"/>
            <color indexed="81"/>
            <rFont val="Tahoma"/>
            <family val="2"/>
          </rPr>
          <t>PSI</t>
        </r>
      </text>
    </comment>
    <comment ref="KO66" authorId="0" shapeId="0" xr:uid="{8F318955-05CE-4068-8C9D-6A5277D88C8C}">
      <text>
        <r>
          <rPr>
            <sz val="9"/>
            <color indexed="81"/>
            <rFont val="Tahoma"/>
            <family val="2"/>
          </rPr>
          <t>PSI</t>
        </r>
      </text>
    </comment>
    <comment ref="C67" authorId="0" shapeId="0" xr:uid="{E0D3B3E3-EAA5-4F24-9601-EE37A08D84DC}">
      <text>
        <r>
          <rPr>
            <sz val="9"/>
            <color indexed="81"/>
            <rFont val="Tahoma"/>
            <family val="2"/>
          </rPr>
          <t>PRD</t>
        </r>
      </text>
    </comment>
    <comment ref="AG67" authorId="0" shapeId="0" xr:uid="{B28EA580-FAE6-44BC-B230-6445BC55C7B8}">
      <text>
        <r>
          <rPr>
            <sz val="9"/>
            <color indexed="81"/>
            <rFont val="Tahoma"/>
            <family val="2"/>
          </rPr>
          <t>MeP F3</t>
        </r>
      </text>
    </comment>
    <comment ref="BL67" authorId="0" shapeId="0" xr:uid="{19575D40-A93B-44F1-B5A8-26BEF26B72A9}">
      <text>
        <r>
          <rPr>
            <sz val="9"/>
            <color indexed="81"/>
            <rFont val="Tahoma"/>
            <family val="2"/>
          </rPr>
          <t>PSI</t>
        </r>
      </text>
    </comment>
    <comment ref="KO67" authorId="0" shapeId="0" xr:uid="{1C121356-A4E1-4699-924E-FAB86E9C7A3A}">
      <text>
        <r>
          <rPr>
            <sz val="9"/>
            <color indexed="81"/>
            <rFont val="Tahoma"/>
            <family val="2"/>
          </rPr>
          <t>PSI</t>
        </r>
      </text>
    </comment>
    <comment ref="C68" authorId="0" shapeId="0" xr:uid="{D6E4E901-296D-43E9-A1BC-2E48E6D162A1}">
      <text>
        <r>
          <rPr>
            <sz val="9"/>
            <color indexed="81"/>
            <rFont val="Tahoma"/>
            <family val="2"/>
          </rPr>
          <t>HOM</t>
        </r>
      </text>
    </comment>
    <comment ref="E68" authorId="0" shapeId="0" xr:uid="{33AE9F99-5131-4E19-AE61-7CC85E9E91C0}">
      <text>
        <r>
          <rPr>
            <sz val="9"/>
            <color indexed="81"/>
            <rFont val="Tahoma"/>
            <family val="2"/>
          </rPr>
          <t>1ère étape en mode parcours désactivé puis Tests THR classiques</t>
        </r>
      </text>
    </comment>
    <comment ref="M68" authorId="0" shapeId="0" xr:uid="{317ED759-38FD-44EA-B007-43236684BA30}">
      <text>
        <r>
          <rPr>
            <sz val="9"/>
            <color indexed="81"/>
            <rFont val="Tahoma"/>
            <family val="2"/>
          </rPr>
          <t>Refresh PTF avec TFA 2025</t>
        </r>
      </text>
    </comment>
    <comment ref="S68" authorId="0" shapeId="0" xr:uid="{821115C2-5E27-4F9D-889E-7964DC5419D7}">
      <text>
        <r>
          <rPr>
            <sz val="9"/>
            <color indexed="81"/>
            <rFont val="Tahoma"/>
            <family val="2"/>
          </rPr>
          <t>Mig V26.1</t>
        </r>
      </text>
    </comment>
    <comment ref="AF68" authorId="0" shapeId="0" xr:uid="{31D08C43-A8AC-43E3-B2E7-208870B624E2}">
      <text>
        <r>
          <rPr>
            <sz val="9"/>
            <color indexed="81"/>
            <rFont val="Tahoma"/>
            <family val="2"/>
          </rPr>
          <t>V26.1</t>
        </r>
      </text>
    </comment>
    <comment ref="C69" authorId="0" shapeId="0" xr:uid="{EA571B84-0626-48E4-BBD2-2C2B07E386FB}">
      <text>
        <r>
          <rPr>
            <sz val="9"/>
            <color indexed="81"/>
            <rFont val="Tahoma"/>
            <family val="2"/>
          </rPr>
          <t>FORM</t>
        </r>
      </text>
    </comment>
    <comment ref="K69" authorId="0" shapeId="0" xr:uid="{70B1DD3A-E0CB-4583-BA36-459E8A439CB1}">
      <text>
        <r>
          <rPr>
            <sz val="9"/>
            <color indexed="81"/>
            <rFont val="Tahoma"/>
            <family val="2"/>
          </rPr>
          <t>Etape optionnelle : poursuite de tests pour activation en Prod</t>
        </r>
      </text>
    </comment>
    <comment ref="C70" authorId="0" shapeId="0" xr:uid="{3A184CD3-F530-46EB-81C4-8414CA35C76A}">
      <text>
        <r>
          <rPr>
            <sz val="9"/>
            <color indexed="81"/>
            <rFont val="Tahoma"/>
            <family val="2"/>
          </rPr>
          <t>PPRD</t>
        </r>
      </text>
    </comment>
    <comment ref="E70" authorId="0" shapeId="0" xr:uid="{14418F03-1B96-4E35-B7D9-E2E384FC6CF6}">
      <text>
        <r>
          <rPr>
            <sz val="9"/>
            <color indexed="81"/>
            <rFont val="Tahoma"/>
            <family val="2"/>
          </rPr>
          <t>Phase optionnelle si activation (Répétition de l'installation avant MeP)</t>
        </r>
      </text>
    </comment>
    <comment ref="C71" authorId="0" shapeId="0" xr:uid="{5EE0CC9E-9CC4-4ED0-ACB0-B65F900D8920}">
      <text>
        <r>
          <rPr>
            <sz val="9"/>
            <color indexed="81"/>
            <rFont val="Tahoma"/>
            <family val="2"/>
          </rPr>
          <t>PPRD</t>
        </r>
      </text>
    </comment>
    <comment ref="AF71" authorId="0" shapeId="0" xr:uid="{9F5D4E2F-5EAC-436F-A5CA-2F578BBF6CD4}">
      <text>
        <r>
          <rPr>
            <sz val="9"/>
            <color indexed="81"/>
            <rFont val="Tahoma"/>
            <family val="2"/>
          </rPr>
          <t>Répétition de l'installation avant MeP</t>
        </r>
      </text>
    </comment>
    <comment ref="C72" authorId="0" shapeId="0" xr:uid="{F592C07E-D624-4A7B-B7CB-9AC8E98E7C94}">
      <text>
        <r>
          <rPr>
            <sz val="9"/>
            <color indexed="81"/>
            <rFont val="Tahoma"/>
            <family val="2"/>
          </rPr>
          <t>PRD</t>
        </r>
      </text>
    </comment>
    <comment ref="L72" authorId="0" shapeId="0" xr:uid="{59CBA4EC-4B3A-41CA-AD09-113EE6B990C6}">
      <text>
        <r>
          <rPr>
            <sz val="9"/>
            <color indexed="81"/>
            <rFont val="Tahoma"/>
            <family val="2"/>
          </rPr>
          <t>MeP technique (PY/APPE/Q1)</t>
        </r>
      </text>
    </comment>
    <comment ref="BL72" authorId="0" shapeId="0" xr:uid="{594A84E6-164B-4AAA-9A09-3524E1A63EC9}">
      <text>
        <r>
          <rPr>
            <sz val="9"/>
            <color indexed="81"/>
            <rFont val="Tahoma"/>
            <family val="2"/>
          </rPr>
          <t>PSI</t>
        </r>
      </text>
    </comment>
    <comment ref="KO72" authorId="0" shapeId="0" xr:uid="{53AA34DC-7084-4B30-B0B1-324946727D60}">
      <text>
        <r>
          <rPr>
            <sz val="9"/>
            <color indexed="81"/>
            <rFont val="Tahoma"/>
            <family val="2"/>
          </rPr>
          <t>PSI</t>
        </r>
      </text>
    </comment>
    <comment ref="C73" authorId="0" shapeId="0" xr:uid="{47BE7026-F08C-4401-ADD3-D2E9D4159898}">
      <text>
        <r>
          <rPr>
            <sz val="9"/>
            <color indexed="81"/>
            <rFont val="Tahoma"/>
            <family val="2"/>
          </rPr>
          <t>PRD</t>
        </r>
      </text>
    </comment>
    <comment ref="AG73" authorId="0" shapeId="0" xr:uid="{F81E3096-014E-4B94-A03C-118CF666CB43}">
      <text>
        <r>
          <rPr>
            <sz val="9"/>
            <color indexed="81"/>
            <rFont val="Tahoma"/>
            <family val="2"/>
          </rPr>
          <t>MeP technique (F3) et activation éventuelle du lot 2 bis Deciseo</t>
        </r>
      </text>
    </comment>
    <comment ref="BL73" authorId="0" shapeId="0" xr:uid="{026BD64A-F848-47AB-8564-93DECB6F1163}">
      <text>
        <r>
          <rPr>
            <sz val="9"/>
            <color indexed="81"/>
            <rFont val="Tahoma"/>
            <family val="2"/>
          </rPr>
          <t>PSI</t>
        </r>
      </text>
    </comment>
    <comment ref="KO73" authorId="0" shapeId="0" xr:uid="{ABFBE8A2-0704-4F77-918A-BECE3AA62015}">
      <text>
        <r>
          <rPr>
            <sz val="9"/>
            <color indexed="81"/>
            <rFont val="Tahoma"/>
            <family val="2"/>
          </rPr>
          <t>PSI</t>
        </r>
      </text>
    </comment>
    <comment ref="C74" authorId="0" shapeId="0" xr:uid="{FAC75EFC-E8DD-4469-9929-3293EAE16E38}">
      <text>
        <r>
          <rPr>
            <sz val="9"/>
            <color indexed="81"/>
            <rFont val="Tahoma"/>
            <family val="2"/>
          </rPr>
          <t>PRD</t>
        </r>
      </text>
    </comment>
    <comment ref="AN74" authorId="0" shapeId="0" xr:uid="{03D8F181-4C5D-46E5-AAF7-09A97D45E9D8}">
      <text>
        <r>
          <rPr>
            <sz val="9"/>
            <color indexed="81"/>
            <rFont val="Tahoma"/>
            <family val="2"/>
          </rPr>
          <t>Jalon métier initial pour complément éventuel en Maintenance</t>
        </r>
      </text>
    </comment>
    <comment ref="BL74" authorId="0" shapeId="0" xr:uid="{1D3BB000-0989-493B-B9C3-5EB79DDCF9DF}">
      <text>
        <r>
          <rPr>
            <sz val="9"/>
            <color indexed="81"/>
            <rFont val="Tahoma"/>
            <family val="2"/>
          </rPr>
          <t>PSI</t>
        </r>
      </text>
    </comment>
    <comment ref="KO74" authorId="0" shapeId="0" xr:uid="{FFC4C020-DC1D-4436-B0C3-112442C4C66F}">
      <text>
        <r>
          <rPr>
            <sz val="9"/>
            <color indexed="81"/>
            <rFont val="Tahoma"/>
            <family val="2"/>
          </rPr>
          <t>PSI</t>
        </r>
      </text>
    </comment>
    <comment ref="C75" authorId="0" shapeId="0" xr:uid="{8D46361A-618E-4C88-84F5-D8A2BE96EF45}">
      <text>
        <r>
          <rPr>
            <sz val="9"/>
            <color indexed="81"/>
            <rFont val="Tahoma"/>
            <family val="2"/>
          </rPr>
          <t>RHV</t>
        </r>
      </text>
    </comment>
    <comment ref="CF75" authorId="0" shapeId="0" xr:uid="{96FD720E-9600-4769-9FE5-6EEDF4670735}">
      <text>
        <r>
          <rPr>
            <sz val="9"/>
            <color indexed="81"/>
            <rFont val="Tahoma"/>
            <family val="2"/>
          </rPr>
          <t>Mig V26.1</t>
        </r>
      </text>
    </comment>
    <comment ref="C76" authorId="0" shapeId="0" xr:uid="{96AC7085-DD6F-4C87-B0D5-DE3DFFF00060}">
      <text>
        <r>
          <rPr>
            <sz val="9"/>
            <color indexed="81"/>
            <rFont val="Tahoma"/>
            <family val="2"/>
          </rPr>
          <t>HOM</t>
        </r>
      </text>
    </comment>
    <comment ref="M76" authorId="0" shapeId="0" xr:uid="{CBA1DEE4-9CC3-4ACE-A225-1B4D4B78F12A}">
      <text>
        <r>
          <rPr>
            <sz val="9"/>
            <color indexed="81"/>
            <rFont val="Tahoma"/>
            <family val="2"/>
          </rPr>
          <t>Refresh PTF avec TFA 2025</t>
        </r>
      </text>
    </comment>
    <comment ref="S76" authorId="0" shapeId="0" xr:uid="{3B71A0F5-54DE-4C7C-A0B1-29FE11CD86DE}">
      <text>
        <r>
          <rPr>
            <sz val="9"/>
            <color indexed="81"/>
            <rFont val="Tahoma"/>
            <family val="2"/>
          </rPr>
          <t>Mig V26.1</t>
        </r>
      </text>
    </comment>
    <comment ref="AF76" authorId="0" shapeId="0" xr:uid="{E74D69B1-AA3E-4B81-A821-F5A4B25BCE78}">
      <text>
        <r>
          <rPr>
            <sz val="9"/>
            <color indexed="81"/>
            <rFont val="Tahoma"/>
            <family val="2"/>
          </rPr>
          <t>V26.1</t>
        </r>
      </text>
    </comment>
    <comment ref="C77" authorId="0" shapeId="0" xr:uid="{6217AB0F-D97C-4F75-A97D-07CC987E2F96}">
      <text>
        <r>
          <rPr>
            <sz val="9"/>
            <color indexed="81"/>
            <rFont val="Tahoma"/>
            <family val="2"/>
          </rPr>
          <t>PPRD</t>
        </r>
      </text>
    </comment>
    <comment ref="C78" authorId="0" shapeId="0" xr:uid="{FE890847-1683-417C-879E-E58D933D02B8}">
      <text>
        <r>
          <rPr>
            <sz val="9"/>
            <color indexed="81"/>
            <rFont val="Tahoma"/>
            <family val="2"/>
          </rPr>
          <t>PRD</t>
        </r>
      </text>
    </comment>
    <comment ref="L78" authorId="0" shapeId="0" xr:uid="{739CC582-C638-483C-BB76-00151436BA0D}">
      <text>
        <r>
          <rPr>
            <sz val="9"/>
            <color indexed="81"/>
            <rFont val="Tahoma"/>
            <family val="2"/>
          </rPr>
          <t>MeP PY (Report R2 vers R3)</t>
        </r>
      </text>
    </comment>
    <comment ref="BL78" authorId="0" shapeId="0" xr:uid="{0E31E154-1D00-4DD2-8402-39BF1E924B03}">
      <text>
        <r>
          <rPr>
            <sz val="9"/>
            <color indexed="81"/>
            <rFont val="Tahoma"/>
            <family val="2"/>
          </rPr>
          <t>PSI</t>
        </r>
      </text>
    </comment>
    <comment ref="KO78" authorId="0" shapeId="0" xr:uid="{3527ECEC-79DD-4CD5-A6F3-BEA71EADE5C2}">
      <text>
        <r>
          <rPr>
            <sz val="9"/>
            <color indexed="81"/>
            <rFont val="Tahoma"/>
            <family val="2"/>
          </rPr>
          <t>PSI</t>
        </r>
      </text>
    </comment>
    <comment ref="C79" authorId="0" shapeId="0" xr:uid="{F5F6F10F-5B39-4729-BF37-75920D9E3FE2}">
      <text>
        <r>
          <rPr>
            <sz val="9"/>
            <color indexed="81"/>
            <rFont val="Tahoma"/>
            <family val="2"/>
          </rPr>
          <t>DEV10</t>
        </r>
      </text>
    </comment>
    <comment ref="C80" authorId="0" shapeId="0" xr:uid="{F88B4624-A4F3-4282-BB12-765309C86BE5}">
      <text>
        <r>
          <rPr>
            <sz val="9"/>
            <color indexed="81"/>
            <rFont val="Tahoma"/>
            <family val="2"/>
          </rPr>
          <t>QUAL</t>
        </r>
      </text>
    </comment>
    <comment ref="C81" authorId="0" shapeId="0" xr:uid="{3A94AF4A-C9AE-4556-AABC-36C49E9810A5}">
      <text>
        <r>
          <rPr>
            <sz val="9"/>
            <color indexed="81"/>
            <rFont val="Tahoma"/>
            <family val="2"/>
          </rPr>
          <t>INT</t>
        </r>
      </text>
    </comment>
    <comment ref="E81" authorId="0" shapeId="0" xr:uid="{B5FB3CD5-D1E2-44CE-B063-BD1240871605}">
      <text>
        <r>
          <rPr>
            <sz val="9"/>
            <color indexed="81"/>
            <rFont val="Tahoma"/>
            <family val="2"/>
          </rPr>
          <t>Mig V26.1</t>
        </r>
      </text>
    </comment>
    <comment ref="K81" authorId="0" shapeId="0" xr:uid="{5A312724-E7D9-4499-9C94-76D184E58F17}">
      <text>
        <r>
          <rPr>
            <sz val="9"/>
            <color indexed="81"/>
            <rFont val="Tahoma"/>
            <family val="2"/>
          </rPr>
          <t>V26.1</t>
        </r>
      </text>
    </comment>
    <comment ref="C82" authorId="0" shapeId="0" xr:uid="{5755E55F-6AED-4F96-8430-D35B19A6D8E6}">
      <text>
        <r>
          <rPr>
            <sz val="9"/>
            <color indexed="81"/>
            <rFont val="Tahoma"/>
            <family val="2"/>
          </rPr>
          <t>RECUT</t>
        </r>
      </text>
    </comment>
    <comment ref="R82" authorId="0" shapeId="0" xr:uid="{29FEFF1B-8217-454B-A56B-F749CEDB19AC}">
      <text>
        <r>
          <rPr>
            <sz val="9"/>
            <color indexed="81"/>
            <rFont val="Tahoma"/>
            <family val="2"/>
          </rPr>
          <t>Mig V26.1</t>
        </r>
      </text>
    </comment>
    <comment ref="C83" authorId="0" shapeId="0" xr:uid="{A6265721-D6AC-463A-80ED-88B983147182}">
      <text>
        <r>
          <rPr>
            <sz val="9"/>
            <color indexed="81"/>
            <rFont val="Tahoma"/>
            <family val="2"/>
          </rPr>
          <t>HOM</t>
        </r>
      </text>
    </comment>
    <comment ref="M83" authorId="0" shapeId="0" xr:uid="{1AD29329-7C92-4421-B914-F61832B17F3C}">
      <text>
        <r>
          <rPr>
            <sz val="9"/>
            <color indexed="81"/>
            <rFont val="Tahoma"/>
            <family val="2"/>
          </rPr>
          <t>Refresh PTF avec TFA 2025</t>
        </r>
      </text>
    </comment>
    <comment ref="S83" authorId="0" shapeId="0" xr:uid="{73D1C123-E0A0-4BBE-B503-E7E7392C13AB}">
      <text>
        <r>
          <rPr>
            <sz val="9"/>
            <color indexed="81"/>
            <rFont val="Tahoma"/>
            <family val="2"/>
          </rPr>
          <t>Mig V26.1</t>
        </r>
      </text>
    </comment>
    <comment ref="AF83" authorId="0" shapeId="0" xr:uid="{30D14E3C-D221-4DC7-8EA1-C6EAAE5B9ED0}">
      <text>
        <r>
          <rPr>
            <sz val="9"/>
            <color indexed="81"/>
            <rFont val="Tahoma"/>
            <family val="2"/>
          </rPr>
          <t>V26.1</t>
        </r>
      </text>
    </comment>
    <comment ref="FR83" authorId="0" shapeId="0" xr:uid="{08D3FB22-0934-4456-85BA-4158C7D0A78F}">
      <text>
        <r>
          <rPr>
            <sz val="9"/>
            <color indexed="81"/>
            <rFont val="Tahoma"/>
            <family val="2"/>
          </rPr>
          <t>Tests techniques RIFR/VMOA</t>
        </r>
      </text>
    </comment>
    <comment ref="C84" authorId="0" shapeId="0" xr:uid="{A538BD4F-7289-474C-9E9D-F2D73BF7F72C}">
      <text>
        <r>
          <rPr>
            <sz val="9"/>
            <color indexed="81"/>
            <rFont val="Tahoma"/>
            <family val="2"/>
          </rPr>
          <t>HOM</t>
        </r>
      </text>
    </comment>
    <comment ref="M84" authorId="0" shapeId="0" xr:uid="{0E186F9A-84C4-4592-91BE-A1927F2F9CE3}">
      <text>
        <r>
          <rPr>
            <sz val="9"/>
            <color indexed="81"/>
            <rFont val="Tahoma"/>
            <family val="2"/>
          </rPr>
          <t>Refresh PTF avec TFA 2025</t>
        </r>
      </text>
    </comment>
    <comment ref="S84" authorId="0" shapeId="0" xr:uid="{3E3A01EA-40E2-4BF8-9398-ACA4757DBEE8}">
      <text>
        <r>
          <rPr>
            <sz val="9"/>
            <color indexed="81"/>
            <rFont val="Tahoma"/>
            <family val="2"/>
          </rPr>
          <t>Mig V26.1</t>
        </r>
      </text>
    </comment>
    <comment ref="AF84" authorId="0" shapeId="0" xr:uid="{F24CE522-5809-40ED-A4BB-40C9278C289F}">
      <text>
        <r>
          <rPr>
            <sz val="9"/>
            <color indexed="81"/>
            <rFont val="Tahoma"/>
            <family val="2"/>
          </rPr>
          <t>V26.1</t>
        </r>
      </text>
    </comment>
    <comment ref="C85" authorId="0" shapeId="0" xr:uid="{D5D16B26-2544-4534-AA70-A30A278A6788}">
      <text>
        <r>
          <rPr>
            <sz val="9"/>
            <color indexed="81"/>
            <rFont val="Tahoma"/>
            <family val="2"/>
          </rPr>
          <t>FORM</t>
        </r>
      </text>
    </comment>
    <comment ref="IB85" authorId="0" shapeId="0" xr:uid="{DAE5851E-F95C-425F-A5B3-410E3458B7D1}">
      <text>
        <r>
          <rPr>
            <sz val="9"/>
            <color indexed="81"/>
            <rFont val="Tahoma"/>
            <family val="2"/>
          </rPr>
          <t>Tests anticipés à confirmer sur TSFR</t>
        </r>
      </text>
    </comment>
    <comment ref="C86" authorId="0" shapeId="0" xr:uid="{B0AB9F93-7982-4A15-B1F8-EDF24FBE0282}">
      <text>
        <r>
          <rPr>
            <sz val="9"/>
            <color indexed="81"/>
            <rFont val="Tahoma"/>
            <family val="2"/>
          </rPr>
          <t>PPRD</t>
        </r>
      </text>
    </comment>
    <comment ref="IV86" authorId="0" shapeId="0" xr:uid="{700F962F-A8BD-432B-BB1A-8ADB5264FCC5}">
      <text>
        <r>
          <rPr>
            <sz val="9"/>
            <color indexed="81"/>
            <rFont val="Tahoma"/>
            <family val="2"/>
          </rPr>
          <t>Tests de charge à prévoir</t>
        </r>
      </text>
    </comment>
    <comment ref="C87" authorId="0" shapeId="0" xr:uid="{1171379A-0E05-4841-B430-7A312DFF94A6}">
      <text>
        <r>
          <rPr>
            <sz val="9"/>
            <color indexed="81"/>
            <rFont val="Tahoma"/>
            <family val="2"/>
          </rPr>
          <t>PRD</t>
        </r>
      </text>
    </comment>
    <comment ref="BL87" authorId="0" shapeId="0" xr:uid="{A0D0279C-37EB-48E4-99B5-E9BD4B6EC271}">
      <text>
        <r>
          <rPr>
            <sz val="9"/>
            <color indexed="81"/>
            <rFont val="Tahoma"/>
            <family val="2"/>
          </rPr>
          <t>PSI</t>
        </r>
      </text>
    </comment>
    <comment ref="KO87" authorId="0" shapeId="0" xr:uid="{52BCFFB8-6C0F-4505-8D50-D0E71BA6EC04}">
      <text>
        <r>
          <rPr>
            <sz val="9"/>
            <color indexed="81"/>
            <rFont val="Tahoma"/>
            <family val="2"/>
          </rPr>
          <t>PSI</t>
        </r>
      </text>
    </comment>
    <comment ref="C88" authorId="0" shapeId="0" xr:uid="{634EE16B-BEA8-4E3C-83B9-779B7CAECECE}">
      <text>
        <r>
          <rPr>
            <sz val="9"/>
            <color indexed="81"/>
            <rFont val="Tahoma"/>
            <family val="2"/>
          </rPr>
          <t>PRD</t>
        </r>
      </text>
    </comment>
    <comment ref="BL88" authorId="0" shapeId="0" xr:uid="{1945A7FD-1855-4985-B989-8E0A506B5400}">
      <text>
        <r>
          <rPr>
            <sz val="9"/>
            <color indexed="81"/>
            <rFont val="Tahoma"/>
            <family val="2"/>
          </rPr>
          <t>PSI</t>
        </r>
      </text>
    </comment>
    <comment ref="KO88" authorId="0" shapeId="0" xr:uid="{40F5695F-86BE-4037-9B19-3844D8C7FDAE}">
      <text>
        <r>
          <rPr>
            <sz val="9"/>
            <color indexed="81"/>
            <rFont val="Tahoma"/>
            <family val="2"/>
          </rPr>
          <t>PSI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FOISSY Philippe</author>
  </authors>
  <commentList>
    <comment ref="M1" authorId="0" shapeId="0" xr:uid="{D2AACFE7-1745-4044-A823-DC31B24D6D0E}">
      <text>
        <r>
          <rPr>
            <b/>
            <sz val="9"/>
            <color indexed="81"/>
            <rFont val="Tahoma"/>
            <family val="2"/>
          </rPr>
          <t>FOISSY Philippe:</t>
        </r>
        <r>
          <rPr>
            <sz val="9"/>
            <color indexed="81"/>
            <rFont val="Tahoma"/>
            <family val="2"/>
          </rPr>
          <t xml:space="preserve">
Si c'est vide c'est une Indispo
Si c'est V1 ça concerne l'utilisation de l'environnement de la première Version de l'année
Si c'est V2 ça concerne l'utilisation de l'environnement de la deuxième Version de l'année</t>
        </r>
      </text>
    </comment>
  </commentList>
</comments>
</file>

<file path=xl/sharedStrings.xml><?xml version="1.0" encoding="utf-8"?>
<sst xmlns="http://schemas.openxmlformats.org/spreadsheetml/2006/main" count="5706" uniqueCount="692">
  <si>
    <t>Projet</t>
  </si>
  <si>
    <t>Phase</t>
  </si>
  <si>
    <t>Environnement</t>
  </si>
  <si>
    <t>Date de début</t>
  </si>
  <si>
    <t>Date de fin</t>
  </si>
  <si>
    <t>Ordre</t>
  </si>
  <si>
    <t>Dev</t>
  </si>
  <si>
    <t>DEV10</t>
  </si>
  <si>
    <t>E01</t>
  </si>
  <si>
    <t>Mig V24.2</t>
  </si>
  <si>
    <t>RI/RJ</t>
  </si>
  <si>
    <t>Dev intégrés</t>
  </si>
  <si>
    <t>QUAL (DE)</t>
  </si>
  <si>
    <t>E04</t>
  </si>
  <si>
    <t>DEV9</t>
  </si>
  <si>
    <t>Acc.</t>
  </si>
  <si>
    <t>RS/RU</t>
  </si>
  <si>
    <t>E05</t>
  </si>
  <si>
    <t>RM/RO</t>
  </si>
  <si>
    <t>Homol.</t>
  </si>
  <si>
    <t>E06</t>
  </si>
  <si>
    <t>THR</t>
  </si>
  <si>
    <t>RIFR</t>
  </si>
  <si>
    <t>E10</t>
  </si>
  <si>
    <t>PSI</t>
  </si>
  <si>
    <t>PROD</t>
  </si>
  <si>
    <t>Préprod</t>
  </si>
  <si>
    <t>PREPROD</t>
  </si>
  <si>
    <t>E12</t>
  </si>
  <si>
    <t>TSFR</t>
  </si>
  <si>
    <t>MEP Tech.</t>
  </si>
  <si>
    <t>E14</t>
  </si>
  <si>
    <t>RF/RH</t>
  </si>
  <si>
    <t>AS Lot 1</t>
  </si>
  <si>
    <t>AS Lot 2</t>
  </si>
  <si>
    <t>Hub Lot 1</t>
  </si>
  <si>
    <t>Hub Lot 2</t>
  </si>
  <si>
    <t>VADD</t>
  </si>
  <si>
    <t>DEV6</t>
  </si>
  <si>
    <t>E02</t>
  </si>
  <si>
    <t>PI T3</t>
  </si>
  <si>
    <t>T3 : Sprint 1</t>
  </si>
  <si>
    <t>T3 : Sprint 2</t>
  </si>
  <si>
    <t>T3 : Sprint 3</t>
  </si>
  <si>
    <t>T3 : Sprint 4</t>
  </si>
  <si>
    <t>PI T4</t>
  </si>
  <si>
    <t>T4 : Sprint 1</t>
  </si>
  <si>
    <t>T4 : Sprint 2</t>
  </si>
  <si>
    <t>T4 : Sprint 3</t>
  </si>
  <si>
    <t>T4 : Sprint 4</t>
  </si>
  <si>
    <t>Env</t>
  </si>
  <si>
    <t>Développements Bouchonnés</t>
  </si>
  <si>
    <t>Développements Intégrés</t>
  </si>
  <si>
    <t>Tests d'Accostage</t>
  </si>
  <si>
    <t>Tests d'Homologation</t>
  </si>
  <si>
    <t>Tests d'Homologation Réseaux</t>
  </si>
  <si>
    <t>Mise en Production Technique</t>
  </si>
  <si>
    <t>Mise en Production</t>
  </si>
  <si>
    <t>Activation Parcours en Prod</t>
  </si>
  <si>
    <t>Date début</t>
  </si>
  <si>
    <t xml:space="preserve">Projet </t>
  </si>
  <si>
    <t>Date fin</t>
  </si>
  <si>
    <t>Libellé court</t>
  </si>
  <si>
    <t>Libellé long</t>
  </si>
  <si>
    <t>Réf.</t>
  </si>
  <si>
    <t>Référence historique</t>
  </si>
  <si>
    <t>Référence Front</t>
  </si>
  <si>
    <t>Couleur</t>
  </si>
  <si>
    <t>Jours Fériés</t>
  </si>
  <si>
    <t>PJ01</t>
  </si>
  <si>
    <t>Ph01</t>
  </si>
  <si>
    <t>PJ02</t>
  </si>
  <si>
    <t>Ph02</t>
  </si>
  <si>
    <t>PJ03</t>
  </si>
  <si>
    <t>Ph03</t>
  </si>
  <si>
    <t>E03</t>
  </si>
  <si>
    <t>PJ04</t>
  </si>
  <si>
    <t>Ph04</t>
  </si>
  <si>
    <t>QUAL</t>
  </si>
  <si>
    <t>PJ05</t>
  </si>
  <si>
    <t>Acc/Homol</t>
  </si>
  <si>
    <t>Tests d'Accostage et Homologation</t>
  </si>
  <si>
    <t>Ph05</t>
  </si>
  <si>
    <t>INT</t>
  </si>
  <si>
    <t>PJ06</t>
  </si>
  <si>
    <t>Ph06</t>
  </si>
  <si>
    <t>RECUT</t>
  </si>
  <si>
    <t>PY</t>
  </si>
  <si>
    <t>PJ07</t>
  </si>
  <si>
    <t>NonReg</t>
  </si>
  <si>
    <t>Tests de Non Régression (n)</t>
  </si>
  <si>
    <t>Ph07</t>
  </si>
  <si>
    <t>E07</t>
  </si>
  <si>
    <t>PJ08</t>
  </si>
  <si>
    <t>NonReg+1</t>
  </si>
  <si>
    <t>Tests de Non Régression (n+1)</t>
  </si>
  <si>
    <t>Ph08</t>
  </si>
  <si>
    <t>R7P</t>
  </si>
  <si>
    <t>E08</t>
  </si>
  <si>
    <t>Ph09</t>
  </si>
  <si>
    <t>INT2</t>
  </si>
  <si>
    <t>E09</t>
  </si>
  <si>
    <t>Ph10</t>
  </si>
  <si>
    <t>HOM</t>
  </si>
  <si>
    <t>Ph11</t>
  </si>
  <si>
    <t>FORM</t>
  </si>
  <si>
    <t>E11</t>
  </si>
  <si>
    <t>Ph12</t>
  </si>
  <si>
    <t>PPRD</t>
  </si>
  <si>
    <t>PREPROD2</t>
  </si>
  <si>
    <t>PPRD2</t>
  </si>
  <si>
    <t>E13</t>
  </si>
  <si>
    <t>PRD</t>
  </si>
  <si>
    <t>PI T1</t>
  </si>
  <si>
    <t>T1 : Sprint 1</t>
  </si>
  <si>
    <t>T1 : Sprint 2</t>
  </si>
  <si>
    <t>T1 : Sprint 3</t>
  </si>
  <si>
    <t>T1 : Sprint 4</t>
  </si>
  <si>
    <t>PI T2</t>
  </si>
  <si>
    <t>T2 : Sprint 1</t>
  </si>
  <si>
    <t>T2 : Sprint 2</t>
  </si>
  <si>
    <t>T2 : Sprint 3</t>
  </si>
  <si>
    <t>T2 : Sprint 4</t>
  </si>
  <si>
    <t>Usage</t>
  </si>
  <si>
    <t>Dev env bouchonnés</t>
  </si>
  <si>
    <t>Test Squad Version</t>
  </si>
  <si>
    <t>Tests QA/Test Squad PECC</t>
  </si>
  <si>
    <t>Tests QA/Test Squad</t>
  </si>
  <si>
    <t>Env d'accostage version</t>
  </si>
  <si>
    <t>Env d'Homologation Version</t>
  </si>
  <si>
    <t>Env d'accostage hors version</t>
  </si>
  <si>
    <t>Futur Env de Tests d'Homologation réseau</t>
  </si>
  <si>
    <t>Env Tests d'homologation réseau</t>
  </si>
  <si>
    <t>Maintenance/Homologation Réseau</t>
  </si>
  <si>
    <t>Env de Tests du déploiement avant MEP/Tests de charge</t>
  </si>
  <si>
    <t>Env de Tests du déploiement avant MEP</t>
  </si>
  <si>
    <t>Mise en prod</t>
  </si>
  <si>
    <t>Bloc à livrer</t>
  </si>
  <si>
    <t>CAAS/CA-TS</t>
  </si>
  <si>
    <t>PDI9</t>
  </si>
  <si>
    <t>Recette Permanente</t>
  </si>
  <si>
    <t>MeP Prérequis</t>
  </si>
  <si>
    <t>MeP de blocs prérequis au parcours</t>
  </si>
  <si>
    <t>Ph13</t>
  </si>
  <si>
    <t>MeP Tech.</t>
  </si>
  <si>
    <t>MeP</t>
  </si>
  <si>
    <t>PJ09</t>
  </si>
  <si>
    <t>PJ10</t>
  </si>
  <si>
    <t>Refresh Portefeuille</t>
  </si>
  <si>
    <t>Mig V25.1</t>
  </si>
  <si>
    <t>Référence New Nova</t>
  </si>
  <si>
    <t>Réquisition TFA 2024</t>
  </si>
  <si>
    <t>MeP Activation</t>
  </si>
  <si>
    <t>PJ11</t>
  </si>
  <si>
    <t>PJ12</t>
  </si>
  <si>
    <t>VLS Lot 1</t>
  </si>
  <si>
    <t>VLS Lot 2</t>
  </si>
  <si>
    <t>V25.1</t>
  </si>
  <si>
    <t>Commentaires</t>
  </si>
  <si>
    <t>MeP technique en dormant</t>
  </si>
  <si>
    <t>MeP technique des briques P4 et D9</t>
  </si>
  <si>
    <t>MeP de l'API P8 et (APPE/G6/P5)</t>
  </si>
  <si>
    <t>Chargement du param EBX</t>
  </si>
  <si>
    <t>Durée d'un sprint</t>
  </si>
  <si>
    <t>MeP technique F7 post V24.2 sans activation</t>
  </si>
  <si>
    <t>Mise en Prod de F6</t>
  </si>
  <si>
    <t>MeP composants autres que F6</t>
  </si>
  <si>
    <t>Activation VADD LCL</t>
  </si>
  <si>
    <t>VLS LCL</t>
  </si>
  <si>
    <t>Versement Libre Selfcare LCL</t>
  </si>
  <si>
    <t>PJ13</t>
  </si>
  <si>
    <t>Tests NEHOM + VSR V24.2</t>
  </si>
  <si>
    <t>Sortie du VLC des tests sur RIFR le 09/10</t>
  </si>
  <si>
    <t>OIDC</t>
  </si>
  <si>
    <t>PJ14</t>
  </si>
  <si>
    <t>PJ15</t>
  </si>
  <si>
    <t>KSQL</t>
  </si>
  <si>
    <t>PJ16</t>
  </si>
  <si>
    <t>Retour tests THR sur RIFR</t>
  </si>
  <si>
    <t>Homologation Flash sur TSFR</t>
  </si>
  <si>
    <t>Reprise des THR sur RIFR</t>
  </si>
  <si>
    <t>AC Lot 1</t>
  </si>
  <si>
    <t>AC Lot 2</t>
  </si>
  <si>
    <t>PJ17</t>
  </si>
  <si>
    <t>PJ18</t>
  </si>
  <si>
    <t>GPM</t>
  </si>
  <si>
    <t>PJ19</t>
  </si>
  <si>
    <t>DEMAP</t>
  </si>
  <si>
    <t>PJ20</t>
  </si>
  <si>
    <t>Dona</t>
  </si>
  <si>
    <t>PJ21</t>
  </si>
  <si>
    <t>SimulAssur</t>
  </si>
  <si>
    <t>PJ22</t>
  </si>
  <si>
    <t>SIMM=&gt;SED</t>
  </si>
  <si>
    <t>PJ23</t>
  </si>
  <si>
    <t>PJ24</t>
  </si>
  <si>
    <t>PCPOB</t>
  </si>
  <si>
    <t>CDPPR</t>
  </si>
  <si>
    <t>Retour sur RIFR</t>
  </si>
  <si>
    <t>Finalisation des tests</t>
  </si>
  <si>
    <t>R2</t>
  </si>
  <si>
    <t>MeP chez CA-TS uniquement pour 5 caisses</t>
  </si>
  <si>
    <t>MeP chez CA-TS uniquement pour l'ensemble des caisses</t>
  </si>
  <si>
    <t>Rejoint la Version V25.1</t>
  </si>
  <si>
    <t>MeP de CJNI planifiée le 23/10</t>
  </si>
  <si>
    <t>Montée de version KSQL</t>
  </si>
  <si>
    <t>Activation du parcours sur 2 clients choisis (FF sur P8) à valider</t>
  </si>
  <si>
    <t xml:space="preserve">Homologation Flash sur TSFR </t>
  </si>
  <si>
    <t>MeP technique (Blocs VS, RS et EP-Framework)</t>
  </si>
  <si>
    <t>Conteneurisation PY</t>
  </si>
  <si>
    <t>Mise en Prod de F6/PY/N8</t>
  </si>
  <si>
    <t>MeP technique de G3</t>
  </si>
  <si>
    <t>GPM / SY360</t>
  </si>
  <si>
    <t>Montée de version PDI9 CA-TS</t>
  </si>
  <si>
    <t>Livraison de APPE MOGP (W4) et W1 par paramétrage</t>
  </si>
  <si>
    <t>MeP correctifs sur F3, F6, P8, Certificats et DEXP ETL</t>
  </si>
  <si>
    <t>MeP de G4</t>
  </si>
  <si>
    <t>MeP technique de F7 sans activation</t>
  </si>
  <si>
    <t>Refresh Portefeuille avec TFA</t>
  </si>
  <si>
    <t>Offre Donaflore</t>
  </si>
  <si>
    <t>Simul Assur</t>
  </si>
  <si>
    <t>SIMM vers SED (New Nova)</t>
  </si>
  <si>
    <t>RL/RP</t>
  </si>
  <si>
    <t>E15</t>
  </si>
  <si>
    <t>RT/RR</t>
  </si>
  <si>
    <t>E16</t>
  </si>
  <si>
    <t>MeP F7 (Arbitrage Conseiller) en V25.1</t>
  </si>
  <si>
    <t>Circuit Version</t>
  </si>
  <si>
    <t>Circuit HV</t>
  </si>
  <si>
    <t>Clonage pour V25.1</t>
  </si>
  <si>
    <t>VLC PMV1</t>
  </si>
  <si>
    <t>VLC PMV2</t>
  </si>
  <si>
    <t>PJ25</t>
  </si>
  <si>
    <t>Activation CA-TS</t>
  </si>
  <si>
    <t>MeP CA-TS</t>
  </si>
  <si>
    <t>Tests sur socle métier MT</t>
  </si>
  <si>
    <t>Flag Version</t>
  </si>
  <si>
    <t>Indispo / Utilisation Version</t>
  </si>
  <si>
    <t>V</t>
  </si>
  <si>
    <t>MeP CA-TS &amp; W1</t>
  </si>
  <si>
    <t>Chaque couleur correspond à un environnement (Préprod pour cette couleur)</t>
  </si>
  <si>
    <t>Symbolise l'indisponibilité de l'environnement</t>
  </si>
  <si>
    <t>Symbolise une Mise en Production (Déploiement de matière / Activation / Tests techniques / Prérequis)</t>
  </si>
  <si>
    <t>Couleur représentant un Samedi ou un Dimanche</t>
  </si>
  <si>
    <t>Couleur représentant un jour férié</t>
  </si>
  <si>
    <t>Commentaire positionné en début de période valable pour toute la période</t>
  </si>
  <si>
    <t>Date du jour</t>
  </si>
  <si>
    <t>MeP (EP-VS-SR-PW-EBX-Conf F5)</t>
  </si>
  <si>
    <t>Socle métier DE</t>
  </si>
  <si>
    <t>MeP F7 et W1 pour Selfcare</t>
  </si>
  <si>
    <t>Déseng. CAR</t>
  </si>
  <si>
    <t>PJ26</t>
  </si>
  <si>
    <t>Consult. PE</t>
  </si>
  <si>
    <t>Gest. Mandats</t>
  </si>
  <si>
    <t>Consultation Point d'Entrée</t>
  </si>
  <si>
    <t>Gestion des Mandats</t>
  </si>
  <si>
    <t>Rach. Partiel</t>
  </si>
  <si>
    <t>Rachats Partiels</t>
  </si>
  <si>
    <t>VR Selfcare</t>
  </si>
  <si>
    <t>Versement Régulier Selfcare</t>
  </si>
  <si>
    <t>PJ27</t>
  </si>
  <si>
    <t>PJ28</t>
  </si>
  <si>
    <t>PJ29</t>
  </si>
  <si>
    <t>V1</t>
  </si>
  <si>
    <t>Signifie que cet environnement est utilisé dans le circuit de la 1ère Version Majeure</t>
  </si>
  <si>
    <t>V2</t>
  </si>
  <si>
    <t>Signifie que cet environnement est utilisé dans le circuit de la 2ème Version Majeure</t>
  </si>
  <si>
    <t>Refresh PFD suite à clonage</t>
  </si>
  <si>
    <t>Refresh Portefeuille MT</t>
  </si>
  <si>
    <t>Signifie que l'environnement, utilisé par le projet en regard, exploite le circuit Version</t>
  </si>
  <si>
    <t>VADD Adhésion</t>
  </si>
  <si>
    <t>Versement Libre Conseiller PMV1</t>
  </si>
  <si>
    <t>GOBS Offre Couple (PCPOB)</t>
  </si>
  <si>
    <t>Dématérialisation des précontractuels</t>
  </si>
  <si>
    <t>Choix date de prélèvement</t>
  </si>
  <si>
    <t>MeP d'un paramétrage de Timeout sur F3</t>
  </si>
  <si>
    <t>MeP GPM &amp; SY360 - G3 &amp; W1</t>
  </si>
  <si>
    <t>Tests techniques en Prod avant activation</t>
  </si>
  <si>
    <t>Tests THR pour P8</t>
  </si>
  <si>
    <t>Généralisation</t>
  </si>
  <si>
    <t>Homologation Flash avec Nehom</t>
  </si>
  <si>
    <t>Param d'appel de SED</t>
  </si>
  <si>
    <t>MeP FM et OX</t>
  </si>
  <si>
    <t>Activation du parcours sur toute la caisse pilote (FF sur P8)</t>
  </si>
  <si>
    <t>Fabrication F7/Q1</t>
  </si>
  <si>
    <t>Fabrication F7</t>
  </si>
  <si>
    <t>MeP F3 Améliorations écrans</t>
  </si>
  <si>
    <t>MeP F3/W1 (RAC)</t>
  </si>
  <si>
    <t>MeP Technique PY + impact Réseau F5</t>
  </si>
  <si>
    <t>Versement Libre Conseiller - Généralisation (RBC)</t>
  </si>
  <si>
    <t>MeP W1 (RBC) - Prérequis Généralisation VLC</t>
  </si>
  <si>
    <t>MeP GQ</t>
  </si>
  <si>
    <t>TNR sur le VLS pour modif Q1 pour ARBIS</t>
  </si>
  <si>
    <t>MeP technique de F7</t>
  </si>
  <si>
    <t>MeP PY et K9</t>
  </si>
  <si>
    <t>Préparation du pilote Conseiller F&amp;F (FF via P8)</t>
  </si>
  <si>
    <t>Activation F&amp;F CA-TS</t>
  </si>
  <si>
    <t>Activation pilote : 2 CR (883 et 868)</t>
  </si>
  <si>
    <t>PJ30</t>
  </si>
  <si>
    <t>Refonte P4</t>
  </si>
  <si>
    <t>Refonte Editique P4</t>
  </si>
  <si>
    <t>Activation DEMAP en V25.1</t>
  </si>
  <si>
    <t>Ouverture CR pilote Conseiller (Param P8)</t>
  </si>
  <si>
    <t>PJ31</t>
  </si>
  <si>
    <t>Nouvelle MeP F3 Front suite à Rollback le 22/01</t>
  </si>
  <si>
    <t>Digiscore</t>
  </si>
  <si>
    <t>MeP technique P8</t>
  </si>
  <si>
    <t>Activation pilote</t>
  </si>
  <si>
    <t>MeP G4 (API FRC)</t>
  </si>
  <si>
    <t>Dates à confirmer</t>
  </si>
  <si>
    <t>V25.2</t>
  </si>
  <si>
    <t>Mig V25.2</t>
  </si>
  <si>
    <t>Restau PTF + Mig V25.2</t>
  </si>
  <si>
    <t>Activation pilote : +2 CR (817 et 822)</t>
  </si>
  <si>
    <t>Activation Généralisation avec RBC</t>
  </si>
  <si>
    <t>Nouvelle MeP F3 Front suite à Rollback le 11/03</t>
  </si>
  <si>
    <t>Activation et MeP correctif PY conteneurisé</t>
  </si>
  <si>
    <t xml:space="preserve">MeP F7 - Correctifs et FF sur P8 </t>
  </si>
  <si>
    <t>Nouvelle Activation et Relivraison PY conteneurisé</t>
  </si>
  <si>
    <t>MeP PY (Param Url)</t>
  </si>
  <si>
    <t>Désengagement CAR LCL</t>
  </si>
  <si>
    <t>MeP F7 our correctif mineur</t>
  </si>
  <si>
    <t>Activation FF P8</t>
  </si>
  <si>
    <t>AC/AS Lot 3</t>
  </si>
  <si>
    <t>MeP F7 AC/AS</t>
  </si>
  <si>
    <t>Généralisation Selfcare NPC par FF de PY</t>
  </si>
  <si>
    <t>CR Pilote Selfcare NPC par FF de PY</t>
  </si>
  <si>
    <t>PJ32</t>
  </si>
  <si>
    <t>PJ33</t>
  </si>
  <si>
    <t>AC/AS Lot V25.2</t>
  </si>
  <si>
    <t>MeP F7/P6/J2</t>
  </si>
  <si>
    <t>AC/AS Lot Post V25.2</t>
  </si>
  <si>
    <t>MeP V25.1 (APPE/F3/F4/F5/K9/N6/P5/P6/P8/Q1/W1) + PY + EBX</t>
  </si>
  <si>
    <t>Généralisation Selfcare MaBanque (Action CA-TS) et NPC</t>
  </si>
  <si>
    <t>MeP et activation Panel NPC</t>
  </si>
  <si>
    <t>Généralisation Selfcare Ma Banque (Action CA-TS uniquement)</t>
  </si>
  <si>
    <t>PJ34</t>
  </si>
  <si>
    <t>Chalus</t>
  </si>
  <si>
    <t>Banque Chalus</t>
  </si>
  <si>
    <t>Replateforming Avanet</t>
  </si>
  <si>
    <t>Avanet 2</t>
  </si>
  <si>
    <t>PJ35</t>
  </si>
  <si>
    <t>Tests de correctifs sur G3 - GQ et W1</t>
  </si>
  <si>
    <t>Tests des vulnérabilités Lot 1</t>
  </si>
  <si>
    <t>Exécution des TdC à confirmer</t>
  </si>
  <si>
    <t>Généralisation Arbitrage Conseiller (Param CA-TS)</t>
  </si>
  <si>
    <t>Généralisation Arbitrage Selfcare via màj côté CA-TS</t>
  </si>
  <si>
    <t>JANVIER  2026</t>
  </si>
  <si>
    <t>Adh. S V0/V0 Bis</t>
  </si>
  <si>
    <t>Adhésion Selfcare V0 / V0 Bis</t>
  </si>
  <si>
    <t>Adh. S V1</t>
  </si>
  <si>
    <t>Adhésion Selfcare V1</t>
  </si>
  <si>
    <t>PJ36</t>
  </si>
  <si>
    <t>Adh. S V2</t>
  </si>
  <si>
    <t>Adhésion Selfcare V2</t>
  </si>
  <si>
    <t>PJ37</t>
  </si>
  <si>
    <t>FÉVRIER  2026</t>
  </si>
  <si>
    <t>MeP de correctifs sur G3 - GQ et W1</t>
  </si>
  <si>
    <t>SIMAD</t>
  </si>
  <si>
    <t>Simulateur MAD</t>
  </si>
  <si>
    <t>PJ38</t>
  </si>
  <si>
    <t>MeP CA-TS uniquement (MeP CAA réalisée en V25.1)</t>
  </si>
  <si>
    <t>Généralisation progressive</t>
  </si>
  <si>
    <t>SIMAD - Evol.</t>
  </si>
  <si>
    <t>PJ39</t>
  </si>
  <si>
    <t>MOGP</t>
  </si>
  <si>
    <t>MOGP (W4)</t>
  </si>
  <si>
    <t>PJ40</t>
  </si>
  <si>
    <t>AC/AS Lot 4</t>
  </si>
  <si>
    <t>PJ41</t>
  </si>
  <si>
    <t>Pas de tests nécessaires : juste un déploiement de matière</t>
  </si>
  <si>
    <t>Tests de Charge/Geste d'Installation</t>
  </si>
  <si>
    <t>Tests avec CATS</t>
  </si>
  <si>
    <t>Simulateur MAD - Evolution bouton</t>
  </si>
  <si>
    <t>PJ42</t>
  </si>
  <si>
    <t>Refonte API Lamas</t>
  </si>
  <si>
    <t>Refonte API transverses Lamas</t>
  </si>
  <si>
    <t>Tests non strictement nécessaires</t>
  </si>
  <si>
    <t>Tests de Non Régression</t>
  </si>
  <si>
    <t>Accessibilité</t>
  </si>
  <si>
    <t>Déclaration d'accessibilité</t>
  </si>
  <si>
    <t>PJ43</t>
  </si>
  <si>
    <t>Tests sur cet environnement non nécessaires</t>
  </si>
  <si>
    <t>SEAV1</t>
  </si>
  <si>
    <t>SEA V1 en mode ON</t>
  </si>
  <si>
    <t>PJ44</t>
  </si>
  <si>
    <t>AC/AS Lot 5</t>
  </si>
  <si>
    <t>PJ45</t>
  </si>
  <si>
    <t>MARS  2026</t>
  </si>
  <si>
    <t>MeP F7 pour AC/AS</t>
  </si>
  <si>
    <t>RHV</t>
  </si>
  <si>
    <t>VLS LCL Lot 2</t>
  </si>
  <si>
    <t>PJ46</t>
  </si>
  <si>
    <t>Activation LCL</t>
  </si>
  <si>
    <t>MeP technique réalisée le dimanche précédent</t>
  </si>
  <si>
    <t>Tests de charge</t>
  </si>
  <si>
    <t>Tests Adhésion V1 avec CA-TS en avance de phase sur socle V25.1</t>
  </si>
  <si>
    <t>Tests sur environnement full V25.2</t>
  </si>
  <si>
    <t>PJ47</t>
  </si>
  <si>
    <t>Ouv. VLC Mono Sup.</t>
  </si>
  <si>
    <t>Ouverture VLC - Produit mono support</t>
  </si>
  <si>
    <t>Installation Adhésion Selfcare</t>
  </si>
  <si>
    <t>MeP en V25.2 de PY/K9/P8/W1/W4 et EBX</t>
  </si>
  <si>
    <t>MeP de W1 et G3</t>
  </si>
  <si>
    <t>MeP F7/P6 pour AC/AS en R2Bis</t>
  </si>
  <si>
    <t>MeP PY Vulnérabilités Lot 1 en R2Bis</t>
  </si>
  <si>
    <t>MeP P5/L8 en R2</t>
  </si>
  <si>
    <t>MeP N6/L9 en R3</t>
  </si>
  <si>
    <t>MeP EBX en R3</t>
  </si>
  <si>
    <t>Activation CA</t>
  </si>
  <si>
    <t>Nouvelle tentative d'activation CA suite à tentative en échec du 18/06</t>
  </si>
  <si>
    <t>MeP d'un correctif pour LCL</t>
  </si>
  <si>
    <t>Frozen Zone estivale</t>
  </si>
  <si>
    <t>Nouvelle tentative d'activation CA suite à Rollback du 23/06</t>
  </si>
  <si>
    <t>Produits Lionvie Vert Equateur (LVVE) à Déciseo</t>
  </si>
  <si>
    <t>LVVE Deciseo</t>
  </si>
  <si>
    <t>PJ48</t>
  </si>
  <si>
    <t>VLS LCL - Optimisation parcours Signature</t>
  </si>
  <si>
    <t>VLS LCL - Opti W1</t>
  </si>
  <si>
    <t>PJ49</t>
  </si>
  <si>
    <t xml:space="preserve">BugFix Prod Signature </t>
  </si>
  <si>
    <t>PJ50</t>
  </si>
  <si>
    <t>BugFix W1</t>
  </si>
  <si>
    <t>MeP W1</t>
  </si>
  <si>
    <t>Arbitrage Conseiller/Selfcare - Lot 4</t>
  </si>
  <si>
    <t>Arbitrage Conseiller/Selfcare - Lot 3</t>
  </si>
  <si>
    <t>Arbitrage Conseiller/Selfcare - Lot V25.2</t>
  </si>
  <si>
    <t>Arbitrage Conseiller/Selfcare - Lot Post V25.2</t>
  </si>
  <si>
    <t>Arbitrage Conseiller - Lot 1</t>
  </si>
  <si>
    <t>Arbitrage Conseiller - Lot 2</t>
  </si>
  <si>
    <t>Arbitrage Selfcare - Lot 1</t>
  </si>
  <si>
    <t>Arbitrage Selfcare - Lot 2</t>
  </si>
  <si>
    <t>Hub / API Délégation - Lot 1</t>
  </si>
  <si>
    <t>Hub / API Délégation - Lot 2</t>
  </si>
  <si>
    <t>Versement Libre Selfcare - Lot 1</t>
  </si>
  <si>
    <t>Versement Libre Selfcare - Lot 2</t>
  </si>
  <si>
    <t>Arbitrage Conseiller/Selfcare - Lot 5</t>
  </si>
  <si>
    <t>MeP de PY/F3/P8/W1/EBX</t>
  </si>
  <si>
    <t>MeP prévue pour PY/F3/F7/Q1/W1 en R2Bis</t>
  </si>
  <si>
    <t>MeP W4 en R3</t>
  </si>
  <si>
    <t>CAAS</t>
  </si>
  <si>
    <t>F7</t>
  </si>
  <si>
    <t>CA-TS</t>
  </si>
  <si>
    <t>EBX</t>
  </si>
  <si>
    <t>Statut</t>
  </si>
  <si>
    <t>SIMM</t>
  </si>
  <si>
    <t>W4</t>
  </si>
  <si>
    <t>En cours</t>
  </si>
  <si>
    <t>Adhérences</t>
  </si>
  <si>
    <t>Arbitrage Conseiller/Selfcare _x000D_(Lot V25.2)</t>
  </si>
  <si>
    <t>Versement Libre Selfcare LCL _x000D_(Lot 2)</t>
  </si>
  <si>
    <t>Adhésion Selfcare _x000D_(V1)</t>
  </si>
  <si>
    <t>Adhésion Selfcare _x000D_(V2)</t>
  </si>
  <si>
    <t>Evolutions techniques Lamas 2025/09</t>
  </si>
  <si>
    <t>Evol. Lamas 2025/09</t>
  </si>
  <si>
    <t>PJ51</t>
  </si>
  <si>
    <t>Demande de dérog nécessaire : Préprod en V25.2</t>
  </si>
  <si>
    <t>AVRIL  2026</t>
  </si>
  <si>
    <t>MAI  2026</t>
  </si>
  <si>
    <t>JUIN  2026</t>
  </si>
  <si>
    <t>Simulateur GOBS</t>
  </si>
  <si>
    <t>PJ52</t>
  </si>
  <si>
    <t>VLS LCL Lot 2 Bis</t>
  </si>
  <si>
    <t>Versement Libre Selfcare LCL - Lot 2 Bis Deciséo</t>
  </si>
  <si>
    <t>PJ53</t>
  </si>
  <si>
    <t>Date de fin de DEV à confirmer</t>
  </si>
  <si>
    <t>Jalon métier initial pour complément éventuel en Maintenance</t>
  </si>
  <si>
    <t>V26.1</t>
  </si>
  <si>
    <t>MeP GG et GH</t>
  </si>
  <si>
    <t>Tests d'accostage Distributeur (Dates à confirmer)</t>
  </si>
  <si>
    <t>THR (Dates à confirmer)</t>
  </si>
  <si>
    <t>Tests de charge et installation avant MeP</t>
  </si>
  <si>
    <t>Répétition de l'installation avant MeP</t>
  </si>
  <si>
    <t>Phase optionnelle si activation (Répétition de l'installation avant MeP)</t>
  </si>
  <si>
    <t>PJ54</t>
  </si>
  <si>
    <t>Hippo</t>
  </si>
  <si>
    <t>PJ55</t>
  </si>
  <si>
    <t>Wseal</t>
  </si>
  <si>
    <t>MeP FM/GG/HJ/PY/W4</t>
  </si>
  <si>
    <t>Répétition du geste d'installation</t>
  </si>
  <si>
    <t>Pas d'intervention du CdT</t>
  </si>
  <si>
    <t>Tests de surface uniquement</t>
  </si>
  <si>
    <t>MeP G4/F4/L9/N6</t>
  </si>
  <si>
    <t>PJ56</t>
  </si>
  <si>
    <t>Dépose Adhésion</t>
  </si>
  <si>
    <t>Dépose Adhésion MaBanque</t>
  </si>
  <si>
    <t>PWC2</t>
  </si>
  <si>
    <t>Versement Libre Selfcare LCL_x000D_ (Lot 2 Bis : Deciseo)</t>
  </si>
  <si>
    <t>Simulateur GOBS_x000D_(Acc. MaBanque)</t>
  </si>
  <si>
    <t>Arbitrage Selfcare _x000D_(Ouv. contrat formule guidée)</t>
  </si>
  <si>
    <t>Date de MeP prévue</t>
  </si>
  <si>
    <t>P6</t>
  </si>
  <si>
    <t>J2</t>
  </si>
  <si>
    <t>W1</t>
  </si>
  <si>
    <t>F3</t>
  </si>
  <si>
    <t>P8</t>
  </si>
  <si>
    <t>T2</t>
  </si>
  <si>
    <t>T3</t>
  </si>
  <si>
    <t>???</t>
  </si>
  <si>
    <t>Xconnect</t>
  </si>
  <si>
    <t>ST</t>
  </si>
  <si>
    <t>INVI/VC  CA</t>
  </si>
  <si>
    <t>BX</t>
  </si>
  <si>
    <t>F6</t>
  </si>
  <si>
    <t>APPE</t>
  </si>
  <si>
    <t>K9</t>
  </si>
  <si>
    <t>P4</t>
  </si>
  <si>
    <t>P7</t>
  </si>
  <si>
    <t>Q1</t>
  </si>
  <si>
    <t>D9</t>
  </si>
  <si>
    <t>C8</t>
  </si>
  <si>
    <t>T4 2025</t>
  </si>
  <si>
    <t>20/01/2026</t>
  </si>
  <si>
    <t>GG</t>
  </si>
  <si>
    <t>GH</t>
  </si>
  <si>
    <t>18/11/2025</t>
  </si>
  <si>
    <t>FM</t>
  </si>
  <si>
    <t>HJ</t>
  </si>
  <si>
    <t>WP</t>
  </si>
  <si>
    <t>W5</t>
  </si>
  <si>
    <t>I9</t>
  </si>
  <si>
    <t>OX</t>
  </si>
  <si>
    <t>SX</t>
  </si>
  <si>
    <t>PJ57</t>
  </si>
  <si>
    <t>Web to Store LCL</t>
  </si>
  <si>
    <t>Web to Store LCL - Tracking</t>
  </si>
  <si>
    <t>MeP Prediweb 1 (BD)</t>
  </si>
  <si>
    <t>Répétition du geste : pas de besoin de Tests de Charge</t>
  </si>
  <si>
    <t>Pas de besoin de tests : déploiement pour garantie de l'intégrité</t>
  </si>
  <si>
    <t>PSI Spécifique : peu d'impacts CAA</t>
  </si>
  <si>
    <t>MeP APPE/D9/F6/K9/P4/P6/P7/P8/Q1/W1/J2/EBX/BX/PWC2</t>
  </si>
  <si>
    <t>23/09/2025</t>
  </si>
  <si>
    <t>BD</t>
  </si>
  <si>
    <t>SIMAD - MaBanque</t>
  </si>
  <si>
    <t>PJ58</t>
  </si>
  <si>
    <t>SIMAD - Accostage MaBanque</t>
  </si>
  <si>
    <t>Généralisation sur NPC et MaBanque</t>
  </si>
  <si>
    <t>AS : Ouv. form. guid.</t>
  </si>
  <si>
    <t>Arbi Selfcare : Ouverture contrat formule guidée</t>
  </si>
  <si>
    <t>PJ59</t>
  </si>
  <si>
    <t>MeP EBX</t>
  </si>
  <si>
    <t>Sem. 06/10/2025</t>
  </si>
  <si>
    <t>13/10/2025</t>
  </si>
  <si>
    <t>Hippo CMS</t>
  </si>
  <si>
    <t>Webseal</t>
  </si>
  <si>
    <t>Chainage VL/VR PER piloté</t>
  </si>
  <si>
    <t>APX9</t>
  </si>
  <si>
    <t>HUB</t>
  </si>
  <si>
    <t>&lt;==</t>
  </si>
  <si>
    <t>Tests Squad</t>
  </si>
  <si>
    <t>Simulateur GOBS : Accostage NPC</t>
  </si>
  <si>
    <t>Eventualité de première semaine en chevauchement de fin de Fab</t>
  </si>
  <si>
    <t>THR sur NEHOM (NPC, Tests d'intrusion, Digiscore, …)</t>
  </si>
  <si>
    <t>JUILLET  2026</t>
  </si>
  <si>
    <t>Etape de Tests en mode parcours désactivé</t>
  </si>
  <si>
    <t>Etape de Tests THR</t>
  </si>
  <si>
    <t>Etape optionnelle : poursuite de tests pour activation en Prod</t>
  </si>
  <si>
    <t>MeP technique et activation éventuelle du lot 2 bis Deciseo</t>
  </si>
  <si>
    <t>Décommissionnement HX</t>
  </si>
  <si>
    <t>PJ60</t>
  </si>
  <si>
    <t>Décom. HX</t>
  </si>
  <si>
    <t>MeP PY/P8(?)</t>
  </si>
  <si>
    <t>Tests de charge et répétition du geste d'installation</t>
  </si>
  <si>
    <t>Chainage VL/VR</t>
  </si>
  <si>
    <t>PJ61</t>
  </si>
  <si>
    <t>Versement Libre Selfcare LCL - Lot 2 Desktop</t>
  </si>
  <si>
    <t>MeP W5 + MeP CA-TS concomitante</t>
  </si>
  <si>
    <t>Installation sur RIFR pour respecter intégrité et cohérence avant MeP</t>
  </si>
  <si>
    <t>Refresh PTF avec TFA 2025</t>
  </si>
  <si>
    <t>Mig V26.1</t>
  </si>
  <si>
    <t>Adh. S V3</t>
  </si>
  <si>
    <t>Adhésion Selfcare V3</t>
  </si>
  <si>
    <t>PJ62</t>
  </si>
  <si>
    <t>MeP F6/Q1</t>
  </si>
  <si>
    <t>VLS LCL W1</t>
  </si>
  <si>
    <t>Versement Libre Selfcare LCL - W1</t>
  </si>
  <si>
    <t>PJ63</t>
  </si>
  <si>
    <t>Tests THR pour les besoins de CA-TS sur NEHOM</t>
  </si>
  <si>
    <t>VL / Arbi : Corrections mineures</t>
  </si>
  <si>
    <t>VL / Arbi : Corr. Min.</t>
  </si>
  <si>
    <t>PJ64</t>
  </si>
  <si>
    <t>PJ65</t>
  </si>
  <si>
    <t>MeP F3</t>
  </si>
  <si>
    <t>MeP F3/F7</t>
  </si>
  <si>
    <t>VLS LCL : Contrats nantis</t>
  </si>
  <si>
    <t>PJ66</t>
  </si>
  <si>
    <t>Pas de besoins de tests</t>
  </si>
  <si>
    <t>MeP W5/WP/Param I9</t>
  </si>
  <si>
    <t>Corr. Vul. Lamas</t>
  </si>
  <si>
    <t>Corrections Vulnérabilités Lamas</t>
  </si>
  <si>
    <t>PJ67</t>
  </si>
  <si>
    <t>MeP N6/W1/P5/G4/F5 (Vulnérabilités)</t>
  </si>
  <si>
    <t>PJ68</t>
  </si>
  <si>
    <t>MàJ Convention LCL</t>
  </si>
  <si>
    <t>MàJ Convention d'utilisation LCL</t>
  </si>
  <si>
    <t>PJ69</t>
  </si>
  <si>
    <t>Ajout Simulateur P8</t>
  </si>
  <si>
    <t>Enrichissement HUB : Ajout Simulateur P8</t>
  </si>
  <si>
    <t>MeP EBX/D9</t>
  </si>
  <si>
    <t>Activation F&amp;F sur NPC (Initialement prévu le 10/11)</t>
  </si>
  <si>
    <t>Activation Pilote sur NPC</t>
  </si>
  <si>
    <t>Activation F&amp;F sur MaBanque</t>
  </si>
  <si>
    <t>VLS : Type BON</t>
  </si>
  <si>
    <t>MeP technique de HJ (nouveau bloc)</t>
  </si>
  <si>
    <t>VLS LCL Lot 2 PY</t>
  </si>
  <si>
    <t>VLS LCL Lot 2 : Desktop (PY) - Bouton retour arrière</t>
  </si>
  <si>
    <t>PJ70</t>
  </si>
  <si>
    <t>PJ71</t>
  </si>
  <si>
    <t>PJ72</t>
  </si>
  <si>
    <t>Mandat (Produit Oriance) et correctifs</t>
  </si>
  <si>
    <t>Mandat et correctifs</t>
  </si>
  <si>
    <t>Evolutions techniques PY</t>
  </si>
  <si>
    <t>Evol. techniques PY</t>
  </si>
  <si>
    <t>MeP PY</t>
  </si>
  <si>
    <t>Pas de tests THR</t>
  </si>
  <si>
    <t>MeP PY (Montée de verison Angular)</t>
  </si>
  <si>
    <t>Pas de tests CdT</t>
  </si>
  <si>
    <t>MeP SX/WP</t>
  </si>
  <si>
    <r>
      <t xml:space="preserve">Copie de l'onglet Détail le </t>
    </r>
    <r>
      <rPr>
        <b/>
        <sz val="11"/>
        <color theme="1"/>
        <rFont val="Calibri"/>
        <family val="2"/>
        <scheme val="minor"/>
      </rPr>
      <t>21/11/2025</t>
    </r>
    <r>
      <rPr>
        <sz val="11"/>
        <color theme="1"/>
        <rFont val="Calibri"/>
        <family val="2"/>
        <scheme val="minor"/>
      </rPr>
      <t xml:space="preserve"> avant nettoyage</t>
    </r>
  </si>
  <si>
    <t>1ère étape en mode parcours désactivé puis Tests THR classiques</t>
  </si>
  <si>
    <t>Copie de l'onglet Param le 27/11/2025 avant nettoyage</t>
  </si>
  <si>
    <t>AOÛT  2026</t>
  </si>
  <si>
    <t>Release Plan 2025/2026</t>
  </si>
  <si>
    <t>Refresh PTF</t>
  </si>
  <si>
    <t>VLS CA : Dark mode sur Iphone</t>
  </si>
  <si>
    <t>VLS CA : Dark mode</t>
  </si>
  <si>
    <t>PJ73</t>
  </si>
  <si>
    <t>VLS / VLC : Nouvelle ressource P6</t>
  </si>
  <si>
    <t>VLS / VLC : P6</t>
  </si>
  <si>
    <t>PJ74</t>
  </si>
  <si>
    <t>MeP EBX/D9 (Report de la R2 à la R3)</t>
  </si>
  <si>
    <t>MeP PY (Report R2 vers R3)</t>
  </si>
  <si>
    <t>MeP W5 + MeP CA-TS concomitante (R2 =&gt; R3)</t>
  </si>
  <si>
    <t>PSI du 5 au 15 nov 26</t>
  </si>
  <si>
    <t>MeP F3/G4</t>
  </si>
  <si>
    <t>SEPTEMBRE  2026</t>
  </si>
  <si>
    <t>MeP FM/GG/HJ/W4</t>
  </si>
  <si>
    <t>MeP W5/WP/Param I9 (R1 =&gt; R2 =&gt; Maintenance)</t>
  </si>
  <si>
    <t>OCTOBRE  2026</t>
  </si>
  <si>
    <t>NOVEMBRE  2026</t>
  </si>
  <si>
    <t>Tests de charge à prévoir</t>
  </si>
  <si>
    <t>MeP Q1/W1</t>
  </si>
  <si>
    <t>MeP technique (F3) et activation éventuelle du lot 2 bis Deciseo</t>
  </si>
  <si>
    <t>MeP technique (PY/APPE/Q1)</t>
  </si>
  <si>
    <t>PJ75</t>
  </si>
  <si>
    <t>Accessibilité ERI Audits</t>
  </si>
  <si>
    <t>Access. ERI Audits</t>
  </si>
  <si>
    <t>Dev 10 pour test aut0</t>
  </si>
  <si>
    <t>Pas de CDT, pas d'Acc</t>
  </si>
  <si>
    <t>Hyp, souhaitée</t>
  </si>
  <si>
    <t>Adhésion Selfcare LCL</t>
  </si>
  <si>
    <t>PJ76</t>
  </si>
  <si>
    <t>v0 +v1</t>
  </si>
  <si>
    <t>Activation pour pilote</t>
  </si>
  <si>
    <t>V3</t>
  </si>
  <si>
    <t>V4</t>
  </si>
  <si>
    <t xml:space="preserve">Géné </t>
  </si>
  <si>
    <t>Tests techniques RIFR/VMOA</t>
  </si>
  <si>
    <t>Calendrier de MEP</t>
  </si>
  <si>
    <t>Libellé</t>
  </si>
  <si>
    <t>Version</t>
  </si>
  <si>
    <t>Release</t>
  </si>
  <si>
    <t>Date</t>
  </si>
  <si>
    <t>15C</t>
  </si>
  <si>
    <t>15C ADE</t>
  </si>
  <si>
    <t>PJ77</t>
  </si>
  <si>
    <t>Tests anticipés à confirmer sur TSFR</t>
  </si>
  <si>
    <t>Redirection RI/RJ à confirmer</t>
  </si>
  <si>
    <t>Tests techniques: Redirection à confirmer sur RIFR putôt que TSFR</t>
  </si>
  <si>
    <t xml:space="preserve"> Redirection à confirmer sur RIFR putôt que TSFR</t>
  </si>
  <si>
    <t>PJ78</t>
  </si>
  <si>
    <t>PJ79</t>
  </si>
  <si>
    <t>PJ80</t>
  </si>
  <si>
    <t>PJ81</t>
  </si>
  <si>
    <t>PJ82</t>
  </si>
  <si>
    <t>Parcours GOBS conseiller</t>
  </si>
  <si>
    <t>Ouverture VLC pour le produit PER</t>
  </si>
  <si>
    <t>Ouverture Arbitrage Conseiller pour le produit PER</t>
  </si>
  <si>
    <t xml:space="preserve">REFONTE ADHESION CONSEILLER </t>
  </si>
  <si>
    <t>Parcours GOBS C</t>
  </si>
  <si>
    <t>Arbitrage - EGC</t>
  </si>
  <si>
    <t>Ouverture VLC pourPER</t>
  </si>
  <si>
    <t>Ouverture ArC pour PER</t>
  </si>
  <si>
    <t xml:space="preserve">REFONTE AdhCONSEILLER </t>
  </si>
  <si>
    <t>V26.2</t>
  </si>
  <si>
    <t>Couloir</t>
  </si>
  <si>
    <t>T2_R1</t>
  </si>
  <si>
    <t>T2_R2</t>
  </si>
  <si>
    <t>T2_R3</t>
  </si>
  <si>
    <t>T4_R1</t>
  </si>
  <si>
    <t>T4_R2</t>
  </si>
  <si>
    <t>T4_R3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</si>
</sst>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numFmts>
  <fonts count="24" x14ac:knownFonts="1">
    <font>
      <sz val="11"/>
      <color theme="1"/>
      <name val="Calibri"/>
      <family val="2"/>
      <scheme val="minor"/>
    </font>
    <font>
      <b/>
      <sz val="11"/>
      <color theme="1"/>
      <name val="Calibri"/>
      <family val="2"/>
      <scheme val="minor"/>
    </font>
    <font>
      <sz val="10"/>
      <color theme="1"/>
      <name val="Arial Narrow"/>
      <family val="2"/>
    </font>
    <font>
      <sz val="24"/>
      <color theme="1"/>
      <name val="Arial Narrow"/>
      <family val="2"/>
    </font>
    <font>
      <sz val="20"/>
      <color theme="1"/>
      <name val="Arial Narrow"/>
      <family val="2"/>
    </font>
    <font>
      <sz val="11"/>
      <color indexed="9"/>
      <name val="Calibri"/>
      <family val="2"/>
      <scheme val="minor"/>
    </font>
    <font>
      <sz val="18"/>
      <color theme="1"/>
      <name val="Calibri"/>
      <family val="2"/>
      <scheme val="minor"/>
    </font>
    <font>
      <b/>
      <sz val="18"/>
      <color rgb="FFED7D31"/>
      <name val="Calibri"/>
      <family val="2"/>
      <scheme val="minor"/>
    </font>
    <font>
      <sz val="24"/>
      <name val="Impact"/>
      <family val="2"/>
    </font>
    <font>
      <b/>
      <sz val="18"/>
      <color rgb="FF0070C0"/>
      <name val="Calibri"/>
      <family val="2"/>
      <scheme val="minor"/>
    </font>
    <font>
      <b/>
      <i/>
      <sz val="28"/>
      <name val="Arial Narrow"/>
      <family val="2"/>
    </font>
    <font>
      <b/>
      <sz val="12"/>
      <color theme="0"/>
      <name val="Calibri"/>
      <family val="2"/>
      <scheme val="minor"/>
    </font>
    <font>
      <sz val="9"/>
      <color indexed="81"/>
      <name val="Tahoma"/>
      <family val="2"/>
    </font>
    <font>
      <sz val="11"/>
      <color rgb="FFBFBFBF"/>
      <name val="Calibri"/>
      <family val="2"/>
      <scheme val="minor"/>
    </font>
    <font>
      <b/>
      <sz val="14"/>
      <name val="Calibri"/>
      <family val="2"/>
      <scheme val="minor"/>
    </font>
    <font>
      <sz val="8"/>
      <color rgb="FFBFBFBF"/>
      <name val="Calibri"/>
      <family val="2"/>
      <scheme val="minor"/>
    </font>
    <font>
      <b/>
      <sz val="10"/>
      <color theme="0"/>
      <name val="Arial Narrow"/>
      <family val="2"/>
    </font>
    <font>
      <b/>
      <sz val="9"/>
      <color indexed="81"/>
      <name val="Tahoma"/>
      <family val="2"/>
    </font>
    <font>
      <sz val="8"/>
      <name val="Calibri"/>
      <family val="2"/>
      <scheme val="minor"/>
    </font>
    <font>
      <sz val="11"/>
      <color rgb="FF000000"/>
      <name val="Calibri"/>
      <family val="2"/>
    </font>
    <font>
      <b/>
      <sz val="11"/>
      <color indexed="9"/>
      <name val="Calibri"/>
      <family val="2"/>
      <scheme val="minor"/>
    </font>
    <font>
      <b/>
      <sz val="14"/>
      <color rgb="FFFF0000"/>
      <name val="Calibri"/>
      <family val="2"/>
      <scheme val="minor"/>
    </font>
    <font>
      <b/>
      <sz val="11"/>
      <color rgb="FFFF0000"/>
      <name val="Calibri"/>
      <family val="2"/>
      <scheme val="minor"/>
    </font>
    <font>
      <sz val="11"/>
      <color rgb="FFFF0000"/>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6464C8"/>
        <bgColor indexed="64"/>
      </patternFill>
    </fill>
    <fill>
      <patternFill patternType="solid">
        <fgColor rgb="FF0A5078"/>
        <bgColor indexed="64"/>
      </patternFill>
    </fill>
    <fill>
      <patternFill patternType="solid">
        <fgColor rgb="FF14C8C8"/>
        <bgColor indexed="64"/>
      </patternFill>
    </fill>
    <fill>
      <patternFill patternType="solid">
        <fgColor rgb="FF640A64"/>
        <bgColor indexed="64"/>
      </patternFill>
    </fill>
    <fill>
      <patternFill patternType="solid">
        <fgColor rgb="FF19E17D"/>
        <bgColor indexed="64"/>
      </patternFill>
    </fill>
    <fill>
      <patternFill patternType="solid">
        <fgColor rgb="FF328C0A"/>
        <bgColor indexed="64"/>
      </patternFill>
    </fill>
    <fill>
      <patternFill patternType="solid">
        <fgColor rgb="FFB46E50"/>
        <bgColor indexed="64"/>
      </patternFill>
    </fill>
    <fill>
      <patternFill patternType="solid">
        <fgColor rgb="FF642828"/>
        <bgColor indexed="64"/>
      </patternFill>
    </fill>
    <fill>
      <patternFill patternType="solid">
        <fgColor rgb="FFA02828"/>
        <bgColor indexed="64"/>
      </patternFill>
    </fill>
    <fill>
      <patternFill patternType="solid">
        <fgColor rgb="FF19A0A0"/>
        <bgColor indexed="64"/>
      </patternFill>
    </fill>
    <fill>
      <patternFill patternType="solid">
        <fgColor theme="0" tint="-4.9989318521683403E-2"/>
        <bgColor indexed="64"/>
      </patternFill>
    </fill>
    <fill>
      <patternFill patternType="solid">
        <fgColor rgb="FFED7D31"/>
        <bgColor indexed="64"/>
      </patternFill>
    </fill>
    <fill>
      <patternFill patternType="solid">
        <fgColor rgb="FFDC1414"/>
        <bgColor indexed="64"/>
      </patternFill>
    </fill>
    <fill>
      <patternFill patternType="solid">
        <fgColor rgb="FF1E1EDC"/>
        <bgColor indexed="64"/>
      </patternFill>
    </fill>
    <fill>
      <patternFill patternType="solid">
        <fgColor theme="9" tint="0.79998168889431442"/>
        <bgColor indexed="64"/>
      </patternFill>
    </fill>
    <fill>
      <patternFill patternType="lightUp">
        <bgColor rgb="FFF2F2F2"/>
      </patternFill>
    </fill>
    <fill>
      <patternFill patternType="solid">
        <fgColor rgb="FFA03C3C"/>
        <bgColor indexed="64"/>
      </patternFill>
    </fill>
    <fill>
      <patternFill patternType="darkUp"/>
    </fill>
    <fill>
      <patternFill patternType="solid">
        <fgColor rgb="FF0070C0"/>
        <bgColor indexed="64"/>
      </patternFill>
    </fill>
    <fill>
      <patternFill patternType="solid">
        <fgColor indexed="65"/>
        <bgColor indexed="64"/>
      </patternFill>
    </fill>
    <fill>
      <patternFill patternType="solid">
        <fgColor rgb="FFB414B4"/>
        <bgColor indexed="64"/>
      </patternFill>
    </fill>
    <fill>
      <patternFill patternType="solid">
        <fgColor rgb="FF00B050"/>
        <bgColor indexed="64"/>
      </patternFill>
    </fill>
    <fill>
      <patternFill patternType="solid">
        <fgColor theme="4" tint="-0.249977111117893"/>
        <bgColor indexed="64"/>
      </patternFill>
    </fill>
    <fill>
      <gradientFill degree="90">
        <stop position="0">
          <color theme="4"/>
        </stop>
        <stop position="0.5">
          <color theme="0"/>
        </stop>
        <stop position="1">
          <color theme="4"/>
        </stop>
      </gradientFill>
    </fill>
    <fill>
      <patternFill patternType="solid">
        <fgColor rgb="FFFA3C14"/>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darkUp">
        <bgColor rgb="FFFA3C14"/>
      </patternFill>
    </fill>
    <fill>
      <patternFill patternType="solid">
        <fgColor theme="0"/>
        <bgColor indexed="64"/>
      </patternFill>
    </fill>
    <fill>
      <patternFill patternType="darkUp">
        <bgColor rgb="FF328C0A"/>
      </patternFill>
    </fill>
    <fill>
      <patternFill patternType="darkUp">
        <bgColor rgb="FF1E1EDC"/>
      </patternFill>
    </fill>
    <fill>
      <patternFill patternType="darkUp">
        <bgColor rgb="FF0A5078"/>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9"/>
      </left>
      <right style="thin">
        <color indexed="9"/>
      </right>
      <top style="thin">
        <color indexed="9"/>
      </top>
      <bottom style="thin">
        <color indexed="9"/>
      </bottom>
      <diagonal/>
    </border>
    <border>
      <left/>
      <right/>
      <top style="thin">
        <color indexed="9"/>
      </top>
      <bottom/>
      <diagonal/>
    </border>
    <border>
      <left/>
      <right/>
      <top style="thin">
        <color indexed="9"/>
      </top>
      <bottom style="thin">
        <color indexed="9"/>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style="medium">
        <color indexed="9"/>
      </right>
      <top style="medium">
        <color indexed="9"/>
      </top>
      <bottom style="medium">
        <color indexed="9"/>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medium">
        <color indexed="64"/>
      </left>
      <right style="medium">
        <color indexed="64"/>
      </right>
      <top style="medium">
        <color indexed="9"/>
      </top>
      <bottom style="medium">
        <color indexed="9"/>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9"/>
      </top>
      <bottom style="medium">
        <color indexed="9"/>
      </bottom>
      <diagonal/>
    </border>
  </borders>
  <cellStyleXfs count="1">
    <xf numFmtId="0" fontId="0" fillId="0" borderId="0"/>
  </cellStyleXfs>
  <cellXfs count="200">
    <xf numFmtId="0" fontId="0" fillId="0" borderId="0" xfId="0"/>
    <xf numFmtId="0" fontId="0" fillId="0" borderId="0" xfId="0" applyAlignment="1">
      <alignment horizontal="center"/>
    </xf>
    <xf numFmtId="0" fontId="0" fillId="0" borderId="1" xfId="0" applyBorder="1"/>
    <xf numFmtId="0" fontId="0" fillId="2" borderId="1" xfId="0" applyFill="1" applyBorder="1"/>
    <xf numFmtId="14" fontId="0" fillId="0" borderId="1" xfId="0" applyNumberFormat="1" applyBorder="1"/>
    <xf numFmtId="14" fontId="0" fillId="3" borderId="0" xfId="0" applyNumberFormat="1" applyFill="1"/>
    <xf numFmtId="14" fontId="0" fillId="0" borderId="0" xfId="0" applyNumberFormat="1"/>
    <xf numFmtId="0" fontId="0" fillId="3" borderId="1" xfId="0" applyFill="1"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2" fillId="0" borderId="0" xfId="0" applyFont="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5" fillId="10" borderId="7" xfId="0" applyFont="1" applyFill="1" applyBorder="1"/>
    <xf numFmtId="0" fontId="5" fillId="8" borderId="7" xfId="0" applyFont="1" applyFill="1" applyBorder="1"/>
    <xf numFmtId="164" fontId="2" fillId="15" borderId="2" xfId="0" applyNumberFormat="1" applyFont="1" applyFill="1" applyBorder="1" applyAlignment="1">
      <alignment horizontal="center" vertical="center"/>
    </xf>
    <xf numFmtId="0" fontId="0" fillId="14" borderId="1" xfId="0" applyFill="1" applyBorder="1"/>
    <xf numFmtId="0" fontId="0" fillId="17" borderId="0" xfId="0" applyFill="1"/>
    <xf numFmtId="0" fontId="0" fillId="18" borderId="1" xfId="0" applyFill="1" applyBorder="1"/>
    <xf numFmtId="14" fontId="0" fillId="18" borderId="1" xfId="0" applyNumberFormat="1" applyFill="1" applyBorder="1"/>
    <xf numFmtId="0" fontId="1" fillId="0" borderId="0" xfId="0" applyFont="1"/>
    <xf numFmtId="0" fontId="0" fillId="0" borderId="0" xfId="0" applyAlignment="1">
      <alignment horizontal="left"/>
    </xf>
    <xf numFmtId="0" fontId="6" fillId="19" borderId="0" xfId="0" applyFont="1" applyFill="1" applyAlignment="1">
      <alignment horizontal="center" vertical="center"/>
    </xf>
    <xf numFmtId="0" fontId="0" fillId="20" borderId="0" xfId="0" applyFill="1"/>
    <xf numFmtId="0" fontId="0" fillId="0" borderId="0" xfId="0" applyFill="1" applyBorder="1"/>
    <xf numFmtId="164" fontId="2" fillId="0" borderId="2" xfId="0" applyNumberFormat="1" applyFont="1" applyFill="1" applyBorder="1" applyAlignment="1">
      <alignment horizontal="center" vertical="center"/>
    </xf>
    <xf numFmtId="0" fontId="0" fillId="0" borderId="1" xfId="0" applyFill="1" applyBorder="1"/>
    <xf numFmtId="0" fontId="0" fillId="0" borderId="0" xfId="0" applyBorder="1" applyAlignment="1">
      <alignment horizontal="center"/>
    </xf>
    <xf numFmtId="0" fontId="0" fillId="0" borderId="0" xfId="0" applyAlignment="1">
      <alignment horizontal="center" vertical="center"/>
    </xf>
    <xf numFmtId="0" fontId="0" fillId="16" borderId="11" xfId="0" applyFill="1" applyBorder="1"/>
    <xf numFmtId="0" fontId="0" fillId="0" borderId="1" xfId="0" applyBorder="1" applyAlignment="1">
      <alignment horizontal="left"/>
    </xf>
    <xf numFmtId="0" fontId="5" fillId="9" borderId="7" xfId="0" applyFont="1" applyFill="1" applyBorder="1"/>
    <xf numFmtId="0" fontId="0" fillId="0" borderId="1" xfId="0" applyBorder="1" applyAlignment="1">
      <alignment horizontal="center"/>
    </xf>
    <xf numFmtId="0" fontId="0" fillId="3" borderId="0" xfId="0" applyFill="1"/>
    <xf numFmtId="0" fontId="11" fillId="22" borderId="1" xfId="0" applyFont="1" applyFill="1" applyBorder="1" applyAlignment="1">
      <alignment horizontal="center" vertical="center"/>
    </xf>
    <xf numFmtId="14" fontId="11" fillId="22" borderId="1" xfId="0" applyNumberFormat="1" applyFont="1" applyFill="1" applyBorder="1" applyAlignment="1">
      <alignment horizontal="center" vertical="center"/>
    </xf>
    <xf numFmtId="14" fontId="11" fillId="22" borderId="1" xfId="0" applyNumberFormat="1" applyFont="1" applyFill="1" applyBorder="1" applyAlignment="1">
      <alignment horizontal="left" vertical="center"/>
    </xf>
    <xf numFmtId="0" fontId="11" fillId="22" borderId="3" xfId="0" applyFont="1" applyFill="1" applyBorder="1" applyAlignment="1">
      <alignment horizontal="center" vertical="center"/>
    </xf>
    <xf numFmtId="14" fontId="11" fillId="22" borderId="2" xfId="0" applyNumberFormat="1" applyFont="1" applyFill="1" applyBorder="1" applyAlignment="1">
      <alignment horizontal="center" vertical="center"/>
    </xf>
    <xf numFmtId="0" fontId="0" fillId="18" borderId="2" xfId="0" applyFill="1" applyBorder="1"/>
    <xf numFmtId="14" fontId="0" fillId="18" borderId="2" xfId="0" applyNumberFormat="1" applyFill="1" applyBorder="1"/>
    <xf numFmtId="0" fontId="4" fillId="23" borderId="0" xfId="0" applyFont="1" applyFill="1"/>
    <xf numFmtId="0" fontId="0" fillId="18" borderId="13" xfId="0" applyFill="1" applyBorder="1" applyAlignment="1">
      <alignment horizontal="center"/>
    </xf>
    <xf numFmtId="0" fontId="0" fillId="18" borderId="1" xfId="0" applyFill="1" applyBorder="1" applyAlignment="1">
      <alignment horizontal="left"/>
    </xf>
    <xf numFmtId="0" fontId="0" fillId="18" borderId="0" xfId="0" applyFill="1" applyBorder="1" applyAlignment="1">
      <alignment horizontal="center"/>
    </xf>
    <xf numFmtId="0" fontId="0" fillId="18" borderId="2" xfId="0" applyFill="1" applyBorder="1" applyAlignment="1">
      <alignment horizontal="left"/>
    </xf>
    <xf numFmtId="0" fontId="0" fillId="18" borderId="1" xfId="0" applyFill="1" applyBorder="1" applyAlignment="1">
      <alignment horizontal="center"/>
    </xf>
    <xf numFmtId="0" fontId="0" fillId="24" borderId="0" xfId="0" applyFill="1"/>
    <xf numFmtId="14" fontId="11" fillId="22" borderId="2" xfId="0" applyNumberFormat="1" applyFont="1" applyFill="1" applyBorder="1" applyAlignment="1">
      <alignment horizontal="center" vertical="center" wrapText="1"/>
    </xf>
    <xf numFmtId="0" fontId="11" fillId="22" borderId="3" xfId="0" applyFont="1" applyFill="1" applyBorder="1" applyAlignment="1">
      <alignment horizontal="center" vertical="center" wrapText="1"/>
    </xf>
    <xf numFmtId="0" fontId="13" fillId="0" borderId="0" xfId="0" applyFont="1" applyFill="1" applyBorder="1"/>
    <xf numFmtId="0" fontId="14" fillId="2" borderId="12" xfId="0" applyFont="1" applyFill="1" applyBorder="1"/>
    <xf numFmtId="0" fontId="15" fillId="0" borderId="0" xfId="0" applyFont="1" applyFill="1" applyBorder="1" applyAlignment="1">
      <alignment horizontal="center" vertical="center"/>
    </xf>
    <xf numFmtId="0" fontId="15" fillId="10" borderId="9" xfId="0" applyFont="1" applyFill="1" applyBorder="1" applyAlignment="1">
      <alignment horizontal="center" vertical="center"/>
    </xf>
    <xf numFmtId="164" fontId="2" fillId="0" borderId="1" xfId="0" applyNumberFormat="1" applyFont="1" applyFill="1" applyBorder="1" applyAlignment="1">
      <alignment horizontal="center" vertical="center"/>
    </xf>
    <xf numFmtId="164" fontId="2" fillId="26" borderId="1" xfId="0" applyNumberFormat="1" applyFont="1" applyFill="1" applyBorder="1" applyAlignment="1">
      <alignment horizontal="center" vertical="center"/>
    </xf>
    <xf numFmtId="0" fontId="0" fillId="8" borderId="1" xfId="0" applyFill="1" applyBorder="1"/>
    <xf numFmtId="0" fontId="0" fillId="21" borderId="1" xfId="0" applyFill="1" applyBorder="1"/>
    <xf numFmtId="0" fontId="15" fillId="0" borderId="1" xfId="0" applyFont="1" applyFill="1" applyBorder="1" applyAlignment="1">
      <alignment horizontal="center" vertical="center"/>
    </xf>
    <xf numFmtId="164" fontId="16" fillId="25" borderId="1" xfId="0" applyNumberFormat="1" applyFont="1" applyFill="1" applyBorder="1" applyAlignment="1">
      <alignment horizontal="center" vertical="center"/>
    </xf>
    <xf numFmtId="0" fontId="15" fillId="21" borderId="15" xfId="0" applyFont="1" applyFill="1" applyBorder="1" applyAlignment="1">
      <alignment horizontal="center" vertical="center"/>
    </xf>
    <xf numFmtId="0" fontId="15" fillId="21" borderId="16" xfId="0" applyFont="1" applyFill="1" applyBorder="1" applyAlignment="1">
      <alignment horizontal="center" vertical="center"/>
    </xf>
    <xf numFmtId="0" fontId="15" fillId="21" borderId="14" xfId="0" applyFont="1" applyFill="1" applyBorder="1" applyAlignment="1">
      <alignment horizontal="center" vertical="center"/>
    </xf>
    <xf numFmtId="0" fontId="3" fillId="0" borderId="0" xfId="0" applyFont="1" applyFill="1"/>
    <xf numFmtId="0" fontId="15" fillId="8" borderId="9" xfId="0" applyFont="1" applyFill="1" applyBorder="1" applyAlignment="1">
      <alignment horizontal="center" vertical="center"/>
    </xf>
    <xf numFmtId="0" fontId="0" fillId="18" borderId="13" xfId="0" applyFill="1" applyBorder="1" applyAlignment="1">
      <alignment horizontal="left"/>
    </xf>
    <xf numFmtId="0" fontId="15" fillId="10" borderId="8" xfId="0" applyFont="1" applyFill="1" applyBorder="1" applyAlignment="1">
      <alignment horizontal="center" vertical="center"/>
    </xf>
    <xf numFmtId="0" fontId="0" fillId="18" borderId="1" xfId="0" applyFill="1" applyBorder="1" applyAlignment="1">
      <alignment horizontal="left" wrapText="1"/>
    </xf>
    <xf numFmtId="0" fontId="15" fillId="9" borderId="8" xfId="0" applyFont="1" applyFill="1" applyBorder="1" applyAlignment="1">
      <alignment horizontal="center" vertical="center"/>
    </xf>
    <xf numFmtId="0" fontId="15" fillId="7" borderId="9" xfId="0" applyFont="1" applyFill="1" applyBorder="1" applyAlignment="1">
      <alignment horizontal="center" vertical="center"/>
    </xf>
    <xf numFmtId="0" fontId="5" fillId="7" borderId="7" xfId="0" applyFont="1" applyFill="1" applyBorder="1"/>
    <xf numFmtId="0" fontId="0" fillId="28" borderId="0" xfId="0" applyFill="1"/>
    <xf numFmtId="0" fontId="5" fillId="28" borderId="7" xfId="0" applyFont="1" applyFill="1" applyBorder="1"/>
    <xf numFmtId="0" fontId="15" fillId="28" borderId="11" xfId="0" applyFont="1" applyFill="1" applyBorder="1" applyAlignment="1">
      <alignment horizontal="center" vertical="center"/>
    </xf>
    <xf numFmtId="164" fontId="2" fillId="0" borderId="17" xfId="0" applyNumberFormat="1" applyFont="1" applyFill="1" applyBorder="1" applyAlignment="1">
      <alignment horizontal="center" vertical="center"/>
    </xf>
    <xf numFmtId="0" fontId="15" fillId="7" borderId="8" xfId="0" applyFont="1" applyFill="1" applyBorder="1" applyAlignment="1">
      <alignment horizontal="center" vertical="center"/>
    </xf>
    <xf numFmtId="14" fontId="0" fillId="0" borderId="1" xfId="0" applyNumberFormat="1" applyFill="1" applyBorder="1"/>
    <xf numFmtId="0" fontId="0" fillId="0" borderId="1" xfId="0" applyFill="1" applyBorder="1" applyAlignment="1">
      <alignment horizontal="center"/>
    </xf>
    <xf numFmtId="0" fontId="0" fillId="21" borderId="14" xfId="0" applyFill="1" applyBorder="1"/>
    <xf numFmtId="0" fontId="0" fillId="21" borderId="15" xfId="0" applyFill="1" applyBorder="1"/>
    <xf numFmtId="0" fontId="0" fillId="21" borderId="16" xfId="0" applyFill="1" applyBorder="1"/>
    <xf numFmtId="0" fontId="1" fillId="0" borderId="18" xfId="0" applyFont="1" applyBorder="1"/>
    <xf numFmtId="0" fontId="1" fillId="29" borderId="18" xfId="0" applyFont="1" applyFill="1" applyBorder="1"/>
    <xf numFmtId="0" fontId="0" fillId="0" borderId="18" xfId="0" applyBorder="1"/>
    <xf numFmtId="0" fontId="1" fillId="30" borderId="18" xfId="0" applyFont="1" applyFill="1" applyBorder="1"/>
    <xf numFmtId="0" fontId="20" fillId="31" borderId="18" xfId="0" applyFont="1" applyFill="1" applyBorder="1"/>
    <xf numFmtId="0" fontId="1" fillId="32" borderId="18" xfId="0" applyFont="1" applyFill="1" applyBorder="1"/>
    <xf numFmtId="0" fontId="1" fillId="33" borderId="18" xfId="0" applyFont="1" applyFill="1" applyBorder="1"/>
    <xf numFmtId="0" fontId="1" fillId="34" borderId="18" xfId="0" applyFont="1" applyFill="1" applyBorder="1"/>
    <xf numFmtId="0" fontId="20" fillId="35" borderId="18" xfId="0" applyFont="1" applyFill="1" applyBorder="1"/>
    <xf numFmtId="0" fontId="20" fillId="36" borderId="18" xfId="0" applyFont="1" applyFill="1" applyBorder="1"/>
    <xf numFmtId="0" fontId="20" fillId="37" borderId="18" xfId="0" applyFont="1" applyFill="1" applyBorder="1"/>
    <xf numFmtId="0" fontId="20" fillId="38" borderId="18" xfId="0" applyFont="1" applyFill="1" applyBorder="1"/>
    <xf numFmtId="0" fontId="1" fillId="38" borderId="18" xfId="0" applyFont="1" applyFill="1" applyBorder="1"/>
    <xf numFmtId="0" fontId="20" fillId="39" borderId="18" xfId="0" applyFont="1" applyFill="1" applyBorder="1"/>
    <xf numFmtId="0" fontId="20" fillId="40" borderId="18" xfId="0" applyFont="1" applyFill="1" applyBorder="1"/>
    <xf numFmtId="0" fontId="1" fillId="41" borderId="18" xfId="0" applyFont="1" applyFill="1" applyBorder="1"/>
    <xf numFmtId="0" fontId="1" fillId="42" borderId="18" xfId="0" applyFont="1" applyFill="1" applyBorder="1"/>
    <xf numFmtId="0" fontId="1" fillId="43" borderId="18" xfId="0" applyFont="1" applyFill="1" applyBorder="1"/>
    <xf numFmtId="0" fontId="1" fillId="44" borderId="18" xfId="0" applyFont="1" applyFill="1" applyBorder="1"/>
    <xf numFmtId="0" fontId="1" fillId="45" borderId="18" xfId="0" applyFont="1" applyFill="1" applyBorder="1"/>
    <xf numFmtId="0" fontId="1" fillId="46" borderId="18" xfId="0" applyFont="1" applyFill="1" applyBorder="1"/>
    <xf numFmtId="0" fontId="0" fillId="0" borderId="2" xfId="0" applyBorder="1"/>
    <xf numFmtId="14" fontId="0" fillId="0" borderId="2" xfId="0" applyNumberFormat="1" applyBorder="1"/>
    <xf numFmtId="0" fontId="0" fillId="18" borderId="0" xfId="0" applyFill="1" applyBorder="1" applyAlignment="1">
      <alignment horizontal="left"/>
    </xf>
    <xf numFmtId="0" fontId="0" fillId="0" borderId="2" xfId="0" applyBorder="1" applyAlignment="1">
      <alignment horizontal="left"/>
    </xf>
    <xf numFmtId="0" fontId="1" fillId="0" borderId="18" xfId="0" applyFont="1" applyBorder="1" applyAlignment="1">
      <alignment horizontal="left"/>
    </xf>
    <xf numFmtId="0" fontId="1" fillId="29" borderId="18" xfId="0" applyFont="1" applyFill="1" applyBorder="1" applyAlignment="1">
      <alignment horizontal="left"/>
    </xf>
    <xf numFmtId="0" fontId="0" fillId="0" borderId="18" xfId="0" applyBorder="1" applyAlignment="1">
      <alignment horizontal="left"/>
    </xf>
    <xf numFmtId="0" fontId="1" fillId="30" borderId="18" xfId="0" applyFont="1" applyFill="1" applyBorder="1" applyAlignment="1">
      <alignment horizontal="left"/>
    </xf>
    <xf numFmtId="0" fontId="1" fillId="32" borderId="18" xfId="0" applyFont="1" applyFill="1" applyBorder="1" applyAlignment="1">
      <alignment horizontal="left"/>
    </xf>
    <xf numFmtId="0" fontId="20" fillId="35" borderId="18" xfId="0" applyFont="1" applyFill="1" applyBorder="1" applyAlignment="1">
      <alignment horizontal="left"/>
    </xf>
    <xf numFmtId="0" fontId="20" fillId="36" borderId="18" xfId="0" applyFont="1" applyFill="1" applyBorder="1" applyAlignment="1">
      <alignment horizontal="left"/>
    </xf>
    <xf numFmtId="0" fontId="20" fillId="37" borderId="18" xfId="0" applyFont="1" applyFill="1" applyBorder="1" applyAlignment="1">
      <alignment horizontal="left"/>
    </xf>
    <xf numFmtId="0" fontId="20" fillId="38" borderId="18" xfId="0" applyFont="1" applyFill="1" applyBorder="1" applyAlignment="1">
      <alignment horizontal="left"/>
    </xf>
    <xf numFmtId="0" fontId="20" fillId="39" borderId="18" xfId="0" applyFont="1" applyFill="1" applyBorder="1" applyAlignment="1">
      <alignment horizontal="left"/>
    </xf>
    <xf numFmtId="0" fontId="20" fillId="40" borderId="18" xfId="0" applyFont="1" applyFill="1" applyBorder="1" applyAlignment="1">
      <alignment horizontal="left"/>
    </xf>
    <xf numFmtId="0" fontId="1" fillId="42" borderId="18" xfId="0" applyFont="1" applyFill="1" applyBorder="1" applyAlignment="1">
      <alignment horizontal="left"/>
    </xf>
    <xf numFmtId="14" fontId="0" fillId="0" borderId="18" xfId="0" applyNumberFormat="1" applyBorder="1" applyAlignment="1">
      <alignment horizontal="left"/>
    </xf>
    <xf numFmtId="0" fontId="1" fillId="43" borderId="18" xfId="0" applyFont="1" applyFill="1" applyBorder="1" applyAlignment="1">
      <alignment horizontal="left"/>
    </xf>
    <xf numFmtId="0" fontId="1" fillId="41" borderId="18" xfId="0" applyFont="1" applyFill="1" applyBorder="1" applyAlignment="1">
      <alignment horizontal="left"/>
    </xf>
    <xf numFmtId="0" fontId="1" fillId="44" borderId="18" xfId="0" applyFont="1" applyFill="1" applyBorder="1" applyAlignment="1">
      <alignment horizontal="left"/>
    </xf>
    <xf numFmtId="0" fontId="1" fillId="45" borderId="18" xfId="0" applyFont="1" applyFill="1" applyBorder="1" applyAlignment="1">
      <alignment horizontal="left"/>
    </xf>
    <xf numFmtId="14" fontId="1" fillId="33" borderId="18" xfId="0" applyNumberFormat="1" applyFont="1" applyFill="1" applyBorder="1" applyAlignment="1">
      <alignment horizontal="left"/>
    </xf>
    <xf numFmtId="14" fontId="1" fillId="46" borderId="18" xfId="0" applyNumberFormat="1" applyFont="1" applyFill="1" applyBorder="1" applyAlignment="1">
      <alignment horizontal="left"/>
    </xf>
    <xf numFmtId="0" fontId="1" fillId="33" borderId="18" xfId="0" applyFont="1" applyFill="1" applyBorder="1" applyAlignment="1">
      <alignment horizontal="left"/>
    </xf>
    <xf numFmtId="0" fontId="1" fillId="34" borderId="18" xfId="0" applyFont="1" applyFill="1" applyBorder="1" applyAlignment="1">
      <alignment horizontal="left"/>
    </xf>
    <xf numFmtId="0" fontId="1" fillId="38" borderId="18" xfId="0" applyFont="1" applyFill="1" applyBorder="1" applyAlignment="1">
      <alignment horizontal="left"/>
    </xf>
    <xf numFmtId="14" fontId="1" fillId="34" borderId="18" xfId="0" applyNumberFormat="1" applyFont="1" applyFill="1" applyBorder="1" applyAlignment="1">
      <alignment horizontal="left"/>
    </xf>
    <xf numFmtId="0" fontId="20" fillId="31" borderId="18" xfId="0" applyFont="1" applyFill="1" applyBorder="1" applyAlignment="1">
      <alignment horizontal="left"/>
    </xf>
    <xf numFmtId="0" fontId="1" fillId="46" borderId="18" xfId="0" applyFont="1" applyFill="1" applyBorder="1" applyAlignment="1">
      <alignment horizontal="left"/>
    </xf>
    <xf numFmtId="0" fontId="21" fillId="0" borderId="0" xfId="0" applyFont="1"/>
    <xf numFmtId="0" fontId="0" fillId="0" borderId="13" xfId="0" applyBorder="1" applyAlignment="1">
      <alignment horizontal="center"/>
    </xf>
    <xf numFmtId="0" fontId="0" fillId="0" borderId="17" xfId="0" applyFill="1" applyBorder="1"/>
    <xf numFmtId="0" fontId="0" fillId="0" borderId="2" xfId="0" applyFill="1" applyBorder="1"/>
    <xf numFmtId="0" fontId="5" fillId="0" borderId="0" xfId="0" applyFont="1" applyFill="1" applyBorder="1"/>
    <xf numFmtId="0" fontId="22" fillId="0" borderId="0" xfId="0" applyFont="1"/>
    <xf numFmtId="0" fontId="2" fillId="0" borderId="0" xfId="0" applyFont="1" applyFill="1"/>
    <xf numFmtId="14" fontId="0" fillId="0" borderId="0" xfId="0" applyNumberFormat="1" applyFill="1"/>
    <xf numFmtId="0" fontId="0" fillId="18" borderId="17" xfId="0" applyFill="1" applyBorder="1"/>
    <xf numFmtId="0" fontId="0" fillId="28" borderId="11" xfId="0" applyFill="1" applyBorder="1"/>
    <xf numFmtId="14" fontId="0" fillId="3" borderId="1" xfId="0" applyNumberFormat="1" applyFill="1" applyBorder="1"/>
    <xf numFmtId="0" fontId="15" fillId="9" borderId="9" xfId="0" applyFont="1" applyFill="1" applyBorder="1" applyAlignment="1">
      <alignment horizontal="center" vertical="center"/>
    </xf>
    <xf numFmtId="0" fontId="15" fillId="4" borderId="9" xfId="0" applyFont="1" applyFill="1" applyBorder="1" applyAlignment="1">
      <alignment horizontal="center" vertical="center"/>
    </xf>
    <xf numFmtId="0" fontId="5" fillId="4" borderId="7" xfId="0" applyFont="1" applyFill="1" applyBorder="1"/>
    <xf numFmtId="0" fontId="15" fillId="4" borderId="8" xfId="0" applyFont="1" applyFill="1" applyBorder="1" applyAlignment="1">
      <alignment horizontal="center" vertical="center"/>
    </xf>
    <xf numFmtId="0" fontId="0" fillId="4" borderId="8" xfId="0" applyFill="1" applyBorder="1"/>
    <xf numFmtId="0" fontId="15" fillId="5" borderId="9" xfId="0" applyFont="1" applyFill="1" applyBorder="1" applyAlignment="1">
      <alignment horizontal="center" vertical="center"/>
    </xf>
    <xf numFmtId="0" fontId="5" fillId="5" borderId="7" xfId="0" applyFont="1" applyFill="1" applyBorder="1"/>
    <xf numFmtId="0" fontId="15" fillId="5" borderId="8" xfId="0" applyFont="1" applyFill="1" applyBorder="1" applyAlignment="1">
      <alignment horizontal="center" vertical="center"/>
    </xf>
    <xf numFmtId="0" fontId="0" fillId="47" borderId="19" xfId="0" applyFill="1" applyBorder="1"/>
    <xf numFmtId="14" fontId="0" fillId="48" borderId="1" xfId="0" applyNumberFormat="1" applyFill="1" applyBorder="1"/>
    <xf numFmtId="0" fontId="15" fillId="28" borderId="4" xfId="0" applyFont="1" applyFill="1" applyBorder="1" applyAlignment="1">
      <alignment horizontal="center" vertical="center"/>
    </xf>
    <xf numFmtId="0" fontId="15" fillId="28" borderId="6" xfId="0" applyFont="1" applyFill="1" applyBorder="1" applyAlignment="1">
      <alignment horizontal="center" vertical="center"/>
    </xf>
    <xf numFmtId="0" fontId="0" fillId="0" borderId="20" xfId="0" applyBorder="1"/>
    <xf numFmtId="0" fontId="15" fillId="49" borderId="14" xfId="0" applyFont="1" applyFill="1" applyBorder="1" applyAlignment="1">
      <alignment horizontal="center" vertical="center"/>
    </xf>
    <xf numFmtId="0" fontId="15" fillId="49" borderId="15" xfId="0" applyFont="1" applyFill="1" applyBorder="1" applyAlignment="1">
      <alignment horizontal="center" vertical="center"/>
    </xf>
    <xf numFmtId="0" fontId="15" fillId="49" borderId="16" xfId="0" applyFont="1" applyFill="1" applyBorder="1" applyAlignment="1">
      <alignment horizontal="center" vertical="center"/>
    </xf>
    <xf numFmtId="14" fontId="0" fillId="48" borderId="2" xfId="0" applyNumberFormat="1" applyFill="1" applyBorder="1"/>
    <xf numFmtId="0" fontId="15" fillId="6" borderId="9" xfId="0" applyFont="1" applyFill="1" applyBorder="1" applyAlignment="1">
      <alignment horizontal="center" vertical="center"/>
    </xf>
    <xf numFmtId="0" fontId="5" fillId="6" borderId="7" xfId="0" applyFont="1" applyFill="1" applyBorder="1"/>
    <xf numFmtId="0" fontId="15" fillId="6" borderId="8" xfId="0" applyFont="1" applyFill="1" applyBorder="1" applyAlignment="1">
      <alignment horizontal="center" vertical="center"/>
    </xf>
    <xf numFmtId="0" fontId="5" fillId="24" borderId="7" xfId="0" applyFont="1" applyFill="1" applyBorder="1"/>
    <xf numFmtId="0" fontId="15" fillId="24" borderId="8" xfId="0" applyFont="1" applyFill="1" applyBorder="1" applyAlignment="1">
      <alignment horizontal="center" vertical="center"/>
    </xf>
    <xf numFmtId="0" fontId="15" fillId="17" borderId="9" xfId="0" applyFont="1" applyFill="1" applyBorder="1" applyAlignment="1">
      <alignment horizontal="center" vertical="center"/>
    </xf>
    <xf numFmtId="0" fontId="5" fillId="17" borderId="7" xfId="0" applyFont="1" applyFill="1" applyBorder="1"/>
    <xf numFmtId="0" fontId="15" fillId="17" borderId="8" xfId="0" applyFont="1" applyFill="1" applyBorder="1" applyAlignment="1">
      <alignment horizontal="center" vertical="center"/>
    </xf>
    <xf numFmtId="0" fontId="15" fillId="28" borderId="5" xfId="0" applyFont="1" applyFill="1" applyBorder="1" applyAlignment="1">
      <alignment horizontal="center" vertical="center"/>
    </xf>
    <xf numFmtId="0" fontId="0" fillId="24" borderId="8" xfId="0" applyFill="1" applyBorder="1"/>
    <xf numFmtId="0" fontId="0" fillId="6" borderId="8" xfId="0" applyFill="1" applyBorder="1"/>
    <xf numFmtId="0" fontId="15" fillId="50" borderId="16" xfId="0" applyFont="1" applyFill="1" applyBorder="1" applyAlignment="1">
      <alignment horizontal="center" vertical="center"/>
    </xf>
    <xf numFmtId="0" fontId="0" fillId="2" borderId="1" xfId="0" applyFill="1" applyBorder="1" applyAlignment="1">
      <alignment horizontal="center"/>
    </xf>
    <xf numFmtId="0" fontId="0" fillId="48" borderId="1" xfId="0" applyFill="1" applyBorder="1"/>
    <xf numFmtId="0" fontId="23" fillId="0" borderId="1" xfId="0" applyFont="1" applyBorder="1" applyAlignment="1">
      <alignment horizontal="left"/>
    </xf>
    <xf numFmtId="0" fontId="0" fillId="3" borderId="1" xfId="0" applyFill="1" applyBorder="1" applyAlignment="1">
      <alignment horizontal="left"/>
    </xf>
    <xf numFmtId="16" fontId="0" fillId="0" borderId="0" xfId="0" applyNumberFormat="1"/>
    <xf numFmtId="16" fontId="0" fillId="0" borderId="1" xfId="0" applyNumberFormat="1" applyBorder="1" applyAlignment="1">
      <alignment horizontal="center"/>
    </xf>
    <xf numFmtId="16" fontId="0" fillId="0" borderId="21" xfId="0" applyNumberFormat="1" applyBorder="1" applyAlignment="1">
      <alignment horizontal="center"/>
    </xf>
    <xf numFmtId="0" fontId="15" fillId="51" borderId="14" xfId="0" applyFont="1" applyFill="1" applyBorder="1" applyAlignment="1">
      <alignment horizontal="center" vertical="center"/>
    </xf>
    <xf numFmtId="0" fontId="15" fillId="51" borderId="15" xfId="0" applyFont="1" applyFill="1" applyBorder="1" applyAlignment="1">
      <alignment horizontal="center" vertical="center"/>
    </xf>
    <xf numFmtId="0" fontId="15" fillId="51" borderId="16" xfId="0" applyFont="1" applyFill="1" applyBorder="1" applyAlignment="1">
      <alignment horizontal="center" vertical="center"/>
    </xf>
    <xf numFmtId="0" fontId="15" fillId="8" borderId="22" xfId="0" applyFont="1" applyFill="1" applyBorder="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0" fontId="7" fillId="0" borderId="6"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8" fillId="27" borderId="4" xfId="0" applyFont="1" applyFill="1" applyBorder="1" applyAlignment="1">
      <alignment horizontal="center" vertical="center"/>
    </xf>
    <xf numFmtId="0" fontId="8" fillId="27" borderId="5" xfId="0" applyFont="1" applyFill="1" applyBorder="1" applyAlignment="1">
      <alignment horizontal="center" vertical="center"/>
    </xf>
    <xf numFmtId="0" fontId="8" fillId="27" borderId="6" xfId="0" applyFont="1" applyFill="1" applyBorder="1" applyAlignment="1">
      <alignment horizontal="center" vertical="center"/>
    </xf>
    <xf numFmtId="0" fontId="10" fillId="0" borderId="0" xfId="0" applyFont="1" applyAlignment="1">
      <alignment horizontal="center" vertical="center"/>
    </xf>
    <xf numFmtId="0" fontId="10" fillId="0" borderId="10" xfId="0" applyFont="1" applyBorder="1" applyAlignment="1">
      <alignment horizontal="center" vertical="center"/>
    </xf>
    <xf numFmtId="0" fontId="0" fillId="2" borderId="1" xfId="0" applyFill="1" applyBorder="1" applyAlignment="1">
      <alignment horizontal="center"/>
    </xf>
  </cellXfs>
  <cellStyles count="1">
    <cellStyle name="Normal" xfId="0" builtinId="0"/>
  </cellStyles>
  <dxfs count="8">
    <dxf>
      <fill>
        <patternFill>
          <bgColor theme="4" tint="0.59996337778862885"/>
        </patternFill>
      </fill>
    </dxf>
    <dxf>
      <fill>
        <patternFill>
          <bgColor theme="4" tint="-0.24994659260841701"/>
        </patternFill>
      </fill>
    </dxf>
    <dxf>
      <fill>
        <patternFill>
          <bgColor theme="4" tint="0.59996337778862885"/>
        </patternFill>
      </fill>
    </dxf>
    <dxf>
      <fill>
        <patternFill>
          <bgColor theme="4" tint="-0.24994659260841701"/>
        </patternFill>
      </fill>
    </dxf>
    <dxf>
      <font>
        <b/>
        <i val="0"/>
        <color theme="0"/>
      </font>
      <fill>
        <patternFill>
          <bgColor rgb="FF00B050"/>
        </patternFill>
      </fill>
    </dxf>
    <dxf>
      <fill>
        <patternFill>
          <bgColor theme="4" tint="0.59996337778862885"/>
        </patternFill>
      </fill>
    </dxf>
    <dxf>
      <fill>
        <patternFill>
          <bgColor theme="4" tint="-0.24994659260841701"/>
        </patternFill>
      </fill>
    </dxf>
    <dxf>
      <font>
        <b/>
        <i val="0"/>
        <color theme="0"/>
      </font>
      <fill>
        <patternFill>
          <bgColor rgb="FF00B050"/>
        </patternFill>
      </fill>
    </dxf>
  </dxfs>
  <tableStyles count="0" defaultTableStyle="TableStyleMedium2" defaultPivotStyle="PivotStyleLight16"/>
  <colors>
    <mruColors>
      <color rgb="FF14C8C8"/>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182880</xdr:colOff>
          <xdr:row>0</xdr:row>
          <xdr:rowOff>30480</xdr:rowOff>
        </xdr:from>
        <xdr:to>
          <xdr:col>15</xdr:col>
          <xdr:colOff>60960</xdr:colOff>
          <xdr:row>0</xdr:row>
          <xdr:rowOff>381000</xdr:rowOff>
        </xdr:to>
        <xdr:sp macro="" textlink="">
          <xdr:nvSpPr>
            <xdr:cNvPr id="1030" name="CommandButton1" descr="Mise à jour du planning à partir des informations de l'onglet Détail"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251460</xdr:colOff>
          <xdr:row>0</xdr:row>
          <xdr:rowOff>144780</xdr:rowOff>
        </xdr:from>
        <xdr:to>
          <xdr:col>8</xdr:col>
          <xdr:colOff>137160</xdr:colOff>
          <xdr:row>3</xdr:row>
          <xdr:rowOff>106680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Extraire Carto</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6"/>
  <dimension ref="B2:D20"/>
  <sheetViews>
    <sheetView showGridLines="0" workbookViewId="0">
      <selection activeCell="O29" sqref="O29"/>
    </sheetView>
  </sheetViews>
  <sheetFormatPr baseColWidth="10" defaultRowHeight="14.4" x14ac:dyDescent="0.3"/>
  <cols>
    <col min="1" max="1" width="5.5546875" customWidth="1"/>
    <col min="2" max="2" width="2.5546875" customWidth="1"/>
    <col min="3" max="3" width="0.77734375" customWidth="1"/>
  </cols>
  <sheetData>
    <row r="2" spans="2:4" x14ac:dyDescent="0.3">
      <c r="B2" s="62"/>
      <c r="D2" t="s">
        <v>240</v>
      </c>
    </row>
    <row r="3" spans="2:4" ht="2.1" customHeight="1" x14ac:dyDescent="0.3"/>
    <row r="4" spans="2:4" x14ac:dyDescent="0.3">
      <c r="B4" s="63"/>
      <c r="D4" t="s">
        <v>241</v>
      </c>
    </row>
    <row r="5" spans="2:4" ht="2.1" customHeight="1" thickBot="1" x14ac:dyDescent="0.35"/>
    <row r="6" spans="2:4" ht="15" thickBot="1" x14ac:dyDescent="0.35">
      <c r="B6" s="35"/>
      <c r="D6" t="s">
        <v>242</v>
      </c>
    </row>
    <row r="7" spans="2:4" ht="2.1" customHeight="1" x14ac:dyDescent="0.3"/>
    <row r="8" spans="2:4" x14ac:dyDescent="0.3">
      <c r="B8" s="64" t="s">
        <v>263</v>
      </c>
      <c r="D8" t="s">
        <v>264</v>
      </c>
    </row>
    <row r="9" spans="2:4" ht="2.1" customHeight="1" x14ac:dyDescent="0.3"/>
    <row r="10" spans="2:4" x14ac:dyDescent="0.3">
      <c r="B10" s="64" t="s">
        <v>265</v>
      </c>
      <c r="D10" t="s">
        <v>266</v>
      </c>
    </row>
    <row r="11" spans="2:4" ht="2.1" customHeight="1" x14ac:dyDescent="0.3"/>
    <row r="12" spans="2:4" x14ac:dyDescent="0.3">
      <c r="B12" s="59" t="s">
        <v>238</v>
      </c>
      <c r="D12" t="s">
        <v>269</v>
      </c>
    </row>
    <row r="13" spans="2:4" ht="2.1" customHeight="1" x14ac:dyDescent="0.3"/>
    <row r="14" spans="2:4" x14ac:dyDescent="0.3">
      <c r="B14" s="60">
        <f>A14+1</f>
        <v>1</v>
      </c>
      <c r="D14" t="s">
        <v>243</v>
      </c>
    </row>
    <row r="15" spans="2:4" ht="2.1" customHeight="1" x14ac:dyDescent="0.3"/>
    <row r="16" spans="2:4" x14ac:dyDescent="0.3">
      <c r="B16" s="61">
        <f>A16+1</f>
        <v>1</v>
      </c>
      <c r="D16" t="s">
        <v>244</v>
      </c>
    </row>
    <row r="17" spans="2:4" ht="2.1" customHeight="1" x14ac:dyDescent="0.3"/>
    <row r="18" spans="2:4" x14ac:dyDescent="0.3">
      <c r="B18" s="2"/>
      <c r="D18" t="s">
        <v>245</v>
      </c>
    </row>
    <row r="19" spans="2:4" ht="2.1" customHeight="1" x14ac:dyDescent="0.3"/>
    <row r="20" spans="2:4" x14ac:dyDescent="0.3">
      <c r="B20" s="65">
        <f>A20+1</f>
        <v>1</v>
      </c>
      <c r="D20" t="s">
        <v>246</v>
      </c>
    </row>
  </sheetData>
  <conditionalFormatting sqref="B14">
    <cfRule type="expression" dxfId="7" priority="9">
      <formula>IF(TEXT(B$3,"JJ/MM/AAAA")=TEXT(TODAY(),"JJ/MM/AAAA"),1,0)</formula>
    </cfRule>
  </conditionalFormatting>
  <conditionalFormatting sqref="B14">
    <cfRule type="expression" dxfId="6" priority="10">
      <formula>IF(ISTEXT(TEXT(VLOOKUP(B$3,Férié,1,FALSE),"JJ/MM/AAAA")),1,0)</formula>
    </cfRule>
    <cfRule type="expression" dxfId="5" priority="11">
      <formula>IF(OR(WEEKDAY(B$3,2)=6,WEEKDAY(B$3,2)=7),1,0)</formula>
    </cfRule>
  </conditionalFormatting>
  <pageMargins left="0.7" right="0.7" top="0.75" bottom="0.75" header="0.3" footer="0.3"/>
  <pageSetup paperSize="9" orientation="portrait" verticalDpi="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tabColor theme="4"/>
  </sheetPr>
  <dimension ref="A1:T228"/>
  <sheetViews>
    <sheetView showGridLines="0" topLeftCell="G1" zoomScale="110" zoomScaleNormal="110" workbookViewId="0">
      <pane ySplit="1" topLeftCell="A2" activePane="bottomLeft" state="frozen"/>
      <selection pane="bottomLeft" activeCell="I64" sqref="I64"/>
    </sheetView>
  </sheetViews>
  <sheetFormatPr baseColWidth="10" defaultColWidth="11.44140625" defaultRowHeight="14.4" x14ac:dyDescent="0.3"/>
  <cols>
    <col min="1" max="1" width="18.77734375" bestFit="1" customWidth="1"/>
    <col min="2" max="2" width="14.44140625" bestFit="1" customWidth="1"/>
    <col min="3" max="3" width="20.5546875" bestFit="1" customWidth="1"/>
    <col min="4" max="4" width="19.5546875" style="6" bestFit="1" customWidth="1"/>
    <col min="5" max="5" width="16.44140625" style="6" bestFit="1" customWidth="1"/>
    <col min="6" max="6" width="6.44140625" style="1" hidden="1" customWidth="1"/>
    <col min="7" max="7" width="63.77734375" style="27" bestFit="1" customWidth="1"/>
    <col min="8" max="8" width="4.5546875" customWidth="1"/>
    <col min="9" max="9" width="27.5546875" bestFit="1" customWidth="1"/>
    <col min="10" max="10" width="16.44140625" bestFit="1" customWidth="1"/>
    <col min="11" max="11" width="15" style="6" bestFit="1" customWidth="1"/>
    <col min="12" max="12" width="11.5546875" style="6" bestFit="1" customWidth="1"/>
    <col min="13" max="13" width="8.5546875" style="1" customWidth="1"/>
  </cols>
  <sheetData>
    <row r="1" spans="1:13" s="34" customFormat="1" ht="31.2" x14ac:dyDescent="0.3">
      <c r="A1" s="40" t="s">
        <v>0</v>
      </c>
      <c r="B1" s="40" t="s">
        <v>1</v>
      </c>
      <c r="C1" s="40" t="s">
        <v>2</v>
      </c>
      <c r="D1" s="41" t="s">
        <v>3</v>
      </c>
      <c r="E1" s="41" t="s">
        <v>4</v>
      </c>
      <c r="F1" s="40" t="s">
        <v>5</v>
      </c>
      <c r="G1" s="42" t="s">
        <v>158</v>
      </c>
      <c r="I1" s="55" t="s">
        <v>237</v>
      </c>
      <c r="J1" s="43" t="s">
        <v>2</v>
      </c>
      <c r="K1" s="44" t="s">
        <v>3</v>
      </c>
      <c r="L1" s="44" t="s">
        <v>4</v>
      </c>
      <c r="M1" s="54" t="s">
        <v>236</v>
      </c>
    </row>
    <row r="2" spans="1:13" x14ac:dyDescent="0.3">
      <c r="A2" s="2" t="s">
        <v>663</v>
      </c>
      <c r="B2" s="2" t="s">
        <v>6</v>
      </c>
      <c r="C2" s="2" t="s">
        <v>7</v>
      </c>
      <c r="D2" s="82">
        <v>46041</v>
      </c>
      <c r="E2" s="82">
        <v>46101</v>
      </c>
      <c r="F2" s="33" t="s">
        <v>8</v>
      </c>
      <c r="G2" s="36"/>
      <c r="I2" s="24" t="s">
        <v>312</v>
      </c>
      <c r="J2" s="24" t="s">
        <v>78</v>
      </c>
      <c r="K2" s="25">
        <v>45779</v>
      </c>
      <c r="L2" s="25">
        <v>45800</v>
      </c>
      <c r="M2" s="52"/>
    </row>
    <row r="3" spans="1:13" x14ac:dyDescent="0.3">
      <c r="A3" s="2" t="s">
        <v>663</v>
      </c>
      <c r="B3" s="2" t="s">
        <v>11</v>
      </c>
      <c r="C3" s="2" t="s">
        <v>14</v>
      </c>
      <c r="D3" s="82">
        <v>46062</v>
      </c>
      <c r="E3" s="82">
        <v>46101</v>
      </c>
      <c r="F3" s="33" t="s">
        <v>75</v>
      </c>
      <c r="G3" s="36"/>
      <c r="I3" s="24" t="s">
        <v>311</v>
      </c>
      <c r="J3" s="24" t="s">
        <v>16</v>
      </c>
      <c r="K3" s="25">
        <v>45810</v>
      </c>
      <c r="L3" s="25">
        <v>45821</v>
      </c>
      <c r="M3" s="52"/>
    </row>
    <row r="4" spans="1:13" x14ac:dyDescent="0.3">
      <c r="A4" s="2" t="s">
        <v>663</v>
      </c>
      <c r="B4" s="2" t="s">
        <v>80</v>
      </c>
      <c r="C4" s="2" t="s">
        <v>10</v>
      </c>
      <c r="D4" s="82">
        <v>46064</v>
      </c>
      <c r="E4" s="82">
        <v>46114</v>
      </c>
      <c r="F4" s="33" t="s">
        <v>101</v>
      </c>
      <c r="G4" s="179" t="s">
        <v>667</v>
      </c>
      <c r="I4" s="24" t="s">
        <v>311</v>
      </c>
      <c r="J4" s="24" t="s">
        <v>18</v>
      </c>
      <c r="K4" s="25">
        <v>45831</v>
      </c>
      <c r="L4" s="25">
        <v>45842</v>
      </c>
      <c r="M4" s="52"/>
    </row>
    <row r="5" spans="1:13" x14ac:dyDescent="0.3">
      <c r="A5" s="2" t="s">
        <v>663</v>
      </c>
      <c r="B5" s="2" t="s">
        <v>89</v>
      </c>
      <c r="C5" s="2" t="s">
        <v>29</v>
      </c>
      <c r="D5" s="82">
        <v>46101</v>
      </c>
      <c r="E5" s="82">
        <v>46167</v>
      </c>
      <c r="F5" s="33" t="s">
        <v>111</v>
      </c>
      <c r="G5" s="179" t="s">
        <v>668</v>
      </c>
      <c r="I5" s="24" t="s">
        <v>311</v>
      </c>
      <c r="J5" s="24" t="s">
        <v>22</v>
      </c>
      <c r="K5" s="25">
        <v>45866</v>
      </c>
      <c r="L5" s="25">
        <v>45877</v>
      </c>
      <c r="M5" s="52"/>
    </row>
    <row r="6" spans="1:13" x14ac:dyDescent="0.3">
      <c r="A6" s="2" t="s">
        <v>663</v>
      </c>
      <c r="B6" s="2" t="s">
        <v>21</v>
      </c>
      <c r="C6" s="2" t="s">
        <v>29</v>
      </c>
      <c r="D6" s="82">
        <v>46174</v>
      </c>
      <c r="E6" s="82">
        <v>46203</v>
      </c>
      <c r="F6" s="33" t="s">
        <v>111</v>
      </c>
      <c r="G6" s="179" t="s">
        <v>669</v>
      </c>
      <c r="I6" s="24" t="s">
        <v>310</v>
      </c>
      <c r="J6" s="24" t="s">
        <v>78</v>
      </c>
      <c r="K6" s="25">
        <v>45803</v>
      </c>
      <c r="L6" s="25">
        <v>45954</v>
      </c>
      <c r="M6" s="52" t="s">
        <v>265</v>
      </c>
    </row>
    <row r="7" spans="1:13" x14ac:dyDescent="0.3">
      <c r="A7" s="2" t="s">
        <v>663</v>
      </c>
      <c r="B7" s="2" t="s">
        <v>26</v>
      </c>
      <c r="C7" s="2" t="s">
        <v>27</v>
      </c>
      <c r="D7" s="82">
        <v>46161</v>
      </c>
      <c r="E7" s="82">
        <v>46167</v>
      </c>
      <c r="F7" s="33" t="s">
        <v>31</v>
      </c>
      <c r="G7" s="36"/>
      <c r="I7" s="24" t="s">
        <v>310</v>
      </c>
      <c r="J7" s="24" t="s">
        <v>16</v>
      </c>
      <c r="K7" s="25">
        <v>45824</v>
      </c>
      <c r="L7" s="25">
        <v>45940</v>
      </c>
      <c r="M7" s="52" t="s">
        <v>265</v>
      </c>
    </row>
    <row r="8" spans="1:13" x14ac:dyDescent="0.3">
      <c r="A8" s="2" t="s">
        <v>663</v>
      </c>
      <c r="B8" s="2" t="s">
        <v>26</v>
      </c>
      <c r="C8" s="2" t="s">
        <v>27</v>
      </c>
      <c r="D8" s="82">
        <v>46202</v>
      </c>
      <c r="E8" s="82">
        <v>46209</v>
      </c>
      <c r="F8" s="33" t="s">
        <v>31</v>
      </c>
      <c r="G8" s="36"/>
      <c r="I8" s="24" t="s">
        <v>310</v>
      </c>
      <c r="J8" s="24" t="s">
        <v>18</v>
      </c>
      <c r="K8" s="25">
        <v>45845</v>
      </c>
      <c r="L8" s="25">
        <v>45940</v>
      </c>
      <c r="M8" s="52" t="s">
        <v>265</v>
      </c>
    </row>
    <row r="9" spans="1:13" x14ac:dyDescent="0.3">
      <c r="A9" s="2" t="s">
        <v>663</v>
      </c>
      <c r="B9" s="2" t="s">
        <v>144</v>
      </c>
      <c r="C9" s="2" t="s">
        <v>25</v>
      </c>
      <c r="D9" s="82">
        <v>46168</v>
      </c>
      <c r="E9" s="82">
        <v>46168</v>
      </c>
      <c r="F9" s="33" t="s">
        <v>225</v>
      </c>
      <c r="G9" s="36"/>
      <c r="I9" s="24" t="s">
        <v>310</v>
      </c>
      <c r="J9" s="24" t="s">
        <v>22</v>
      </c>
      <c r="K9" s="25">
        <v>45880</v>
      </c>
      <c r="L9" s="25">
        <v>45947</v>
      </c>
      <c r="M9" s="52" t="s">
        <v>265</v>
      </c>
    </row>
    <row r="10" spans="1:13" x14ac:dyDescent="0.3">
      <c r="A10" s="2" t="s">
        <v>663</v>
      </c>
      <c r="B10" s="2" t="s">
        <v>144</v>
      </c>
      <c r="C10" s="2" t="s">
        <v>25</v>
      </c>
      <c r="D10" s="82">
        <v>46210</v>
      </c>
      <c r="E10" s="82">
        <v>46210</v>
      </c>
      <c r="F10" s="33" t="s">
        <v>225</v>
      </c>
      <c r="G10" s="36"/>
      <c r="I10" s="24" t="s">
        <v>310</v>
      </c>
      <c r="J10" s="24" t="s">
        <v>27</v>
      </c>
      <c r="K10" s="25">
        <v>45894</v>
      </c>
      <c r="L10" s="25">
        <v>45940</v>
      </c>
      <c r="M10" s="52" t="s">
        <v>265</v>
      </c>
    </row>
    <row r="11" spans="1:13" x14ac:dyDescent="0.3">
      <c r="A11" s="2" t="s">
        <v>663</v>
      </c>
      <c r="B11" s="2" t="s">
        <v>152</v>
      </c>
      <c r="C11" s="2" t="s">
        <v>25</v>
      </c>
      <c r="D11" s="82">
        <v>46288</v>
      </c>
      <c r="E11" s="82">
        <v>46288</v>
      </c>
      <c r="F11" s="33" t="s">
        <v>225</v>
      </c>
      <c r="G11" s="36"/>
      <c r="I11" s="24" t="s">
        <v>529</v>
      </c>
      <c r="J11" s="24" t="s">
        <v>25</v>
      </c>
      <c r="K11" s="25">
        <v>45946</v>
      </c>
      <c r="L11" s="25">
        <v>45956</v>
      </c>
      <c r="M11" s="52"/>
    </row>
    <row r="12" spans="1:13" x14ac:dyDescent="0.3">
      <c r="A12" s="24" t="s">
        <v>329</v>
      </c>
      <c r="B12" s="24" t="s">
        <v>15</v>
      </c>
      <c r="C12" s="24" t="s">
        <v>16</v>
      </c>
      <c r="D12" s="25">
        <v>45824</v>
      </c>
      <c r="E12" s="25">
        <v>45940</v>
      </c>
      <c r="F12" s="50" t="s">
        <v>17</v>
      </c>
      <c r="G12" s="49"/>
      <c r="I12" s="24" t="s">
        <v>311</v>
      </c>
      <c r="J12" s="24" t="s">
        <v>10</v>
      </c>
      <c r="K12" s="25">
        <v>45925</v>
      </c>
      <c r="L12" s="25">
        <v>45933</v>
      </c>
      <c r="M12" s="52"/>
    </row>
    <row r="13" spans="1:13" x14ac:dyDescent="0.3">
      <c r="A13" s="24" t="s">
        <v>329</v>
      </c>
      <c r="B13" s="24" t="s">
        <v>19</v>
      </c>
      <c r="C13" s="24" t="s">
        <v>18</v>
      </c>
      <c r="D13" s="25">
        <v>45845</v>
      </c>
      <c r="E13" s="25">
        <v>45940</v>
      </c>
      <c r="F13" s="50" t="s">
        <v>98</v>
      </c>
      <c r="G13" s="49"/>
      <c r="I13" s="24" t="s">
        <v>311</v>
      </c>
      <c r="J13" s="24" t="s">
        <v>14</v>
      </c>
      <c r="K13" s="25">
        <v>45925</v>
      </c>
      <c r="L13" s="25">
        <v>45933</v>
      </c>
      <c r="M13" s="52"/>
    </row>
    <row r="14" spans="1:13" x14ac:dyDescent="0.3">
      <c r="A14" s="24" t="s">
        <v>329</v>
      </c>
      <c r="B14" s="24" t="s">
        <v>21</v>
      </c>
      <c r="C14" s="24" t="s">
        <v>22</v>
      </c>
      <c r="D14" s="25">
        <v>45880</v>
      </c>
      <c r="E14" s="25">
        <v>45947</v>
      </c>
      <c r="F14" s="50" t="s">
        <v>28</v>
      </c>
      <c r="G14" s="49"/>
      <c r="I14" s="24" t="s">
        <v>401</v>
      </c>
      <c r="J14" s="24" t="s">
        <v>22</v>
      </c>
      <c r="K14" s="25">
        <v>45845</v>
      </c>
      <c r="L14" s="25">
        <v>45845</v>
      </c>
      <c r="M14" s="52"/>
    </row>
    <row r="15" spans="1:13" x14ac:dyDescent="0.3">
      <c r="A15" s="24" t="s">
        <v>329</v>
      </c>
      <c r="B15" s="24" t="s">
        <v>26</v>
      </c>
      <c r="C15" s="24" t="s">
        <v>27</v>
      </c>
      <c r="D15" s="25">
        <v>45880</v>
      </c>
      <c r="E15" s="25">
        <v>45940</v>
      </c>
      <c r="F15" s="50" t="s">
        <v>31</v>
      </c>
      <c r="G15" s="49"/>
      <c r="I15" s="24" t="s">
        <v>412</v>
      </c>
      <c r="J15" s="24" t="s">
        <v>25</v>
      </c>
      <c r="K15" s="25">
        <v>45856</v>
      </c>
      <c r="L15" s="25">
        <v>45887</v>
      </c>
      <c r="M15" s="52"/>
    </row>
    <row r="16" spans="1:13" x14ac:dyDescent="0.3">
      <c r="A16" s="24" t="s">
        <v>329</v>
      </c>
      <c r="B16" s="24" t="s">
        <v>145</v>
      </c>
      <c r="C16" s="24" t="s">
        <v>25</v>
      </c>
      <c r="D16" s="25">
        <v>45943</v>
      </c>
      <c r="E16" s="25">
        <v>45943</v>
      </c>
      <c r="F16" s="50" t="s">
        <v>225</v>
      </c>
      <c r="G16" s="49" t="s">
        <v>330</v>
      </c>
      <c r="I16" s="24" t="s">
        <v>311</v>
      </c>
      <c r="J16" s="24" t="s">
        <v>29</v>
      </c>
      <c r="K16" s="25">
        <v>45901</v>
      </c>
      <c r="L16" s="25">
        <v>45905</v>
      </c>
      <c r="M16" s="52"/>
    </row>
    <row r="17" spans="1:15" x14ac:dyDescent="0.3">
      <c r="A17" s="32" t="s">
        <v>646</v>
      </c>
      <c r="B17" s="2" t="s">
        <v>6</v>
      </c>
      <c r="C17" s="2" t="s">
        <v>7</v>
      </c>
      <c r="D17" s="147">
        <v>46055</v>
      </c>
      <c r="E17" s="147">
        <v>46069</v>
      </c>
      <c r="F17" s="33" t="s">
        <v>8</v>
      </c>
      <c r="G17" s="36" t="s">
        <v>647</v>
      </c>
      <c r="I17" s="24" t="s">
        <v>310</v>
      </c>
      <c r="J17" s="24" t="s">
        <v>29</v>
      </c>
      <c r="K17" s="25">
        <v>45908</v>
      </c>
      <c r="L17" s="25">
        <v>45940</v>
      </c>
      <c r="M17" s="52" t="s">
        <v>265</v>
      </c>
    </row>
    <row r="18" spans="1:15" x14ac:dyDescent="0.3">
      <c r="A18" s="32" t="s">
        <v>646</v>
      </c>
      <c r="B18" s="2" t="s">
        <v>11</v>
      </c>
      <c r="C18" s="2" t="s">
        <v>14</v>
      </c>
      <c r="D18" s="157">
        <v>46062</v>
      </c>
      <c r="E18" s="157">
        <v>46101</v>
      </c>
      <c r="F18" s="33" t="s">
        <v>75</v>
      </c>
      <c r="G18" s="36"/>
      <c r="I18" s="24" t="s">
        <v>311</v>
      </c>
      <c r="J18" s="24" t="s">
        <v>27</v>
      </c>
      <c r="K18" s="25">
        <v>45868</v>
      </c>
      <c r="L18" s="25">
        <v>45891</v>
      </c>
      <c r="M18" s="52"/>
    </row>
    <row r="19" spans="1:15" x14ac:dyDescent="0.3">
      <c r="A19" s="32" t="s">
        <v>646</v>
      </c>
      <c r="B19" s="2" t="s">
        <v>80</v>
      </c>
      <c r="C19" s="2" t="s">
        <v>10</v>
      </c>
      <c r="D19" s="157">
        <v>46094</v>
      </c>
      <c r="E19" s="157">
        <v>46101</v>
      </c>
      <c r="F19" s="33" t="s">
        <v>101</v>
      </c>
      <c r="G19" s="36" t="s">
        <v>648</v>
      </c>
      <c r="I19" s="24" t="s">
        <v>568</v>
      </c>
      <c r="J19" s="24" t="s">
        <v>22</v>
      </c>
      <c r="K19" s="25">
        <v>46043</v>
      </c>
      <c r="L19" s="25">
        <v>46048</v>
      </c>
      <c r="M19" s="52"/>
    </row>
    <row r="20" spans="1:15" x14ac:dyDescent="0.3">
      <c r="A20" s="32" t="s">
        <v>646</v>
      </c>
      <c r="B20" s="2" t="s">
        <v>21</v>
      </c>
      <c r="C20" s="2" t="s">
        <v>22</v>
      </c>
      <c r="D20" s="157">
        <v>46102</v>
      </c>
      <c r="E20" s="147">
        <v>46127</v>
      </c>
      <c r="F20" s="33" t="s">
        <v>28</v>
      </c>
      <c r="G20" s="36"/>
      <c r="I20" s="32" t="s">
        <v>569</v>
      </c>
      <c r="J20" s="2" t="s">
        <v>22</v>
      </c>
      <c r="K20" s="4">
        <v>46049</v>
      </c>
      <c r="L20" s="4">
        <v>46059</v>
      </c>
      <c r="M20" s="38"/>
    </row>
    <row r="21" spans="1:15" x14ac:dyDescent="0.3">
      <c r="A21" s="32" t="s">
        <v>646</v>
      </c>
      <c r="B21" s="2" t="s">
        <v>26</v>
      </c>
      <c r="C21" s="2" t="s">
        <v>27</v>
      </c>
      <c r="D21" s="147">
        <v>46161</v>
      </c>
      <c r="E21" s="147">
        <v>46168</v>
      </c>
      <c r="F21" s="33" t="s">
        <v>31</v>
      </c>
      <c r="G21" s="36"/>
      <c r="I21" s="32" t="s">
        <v>467</v>
      </c>
      <c r="J21" s="2" t="s">
        <v>22</v>
      </c>
      <c r="K21" s="4">
        <v>46062</v>
      </c>
      <c r="L21" s="4">
        <v>46129</v>
      </c>
      <c r="M21" s="38" t="s">
        <v>263</v>
      </c>
    </row>
    <row r="22" spans="1:15" x14ac:dyDescent="0.3">
      <c r="A22" s="32" t="s">
        <v>646</v>
      </c>
      <c r="B22" s="2" t="s">
        <v>145</v>
      </c>
      <c r="C22" s="2" t="s">
        <v>25</v>
      </c>
      <c r="D22" s="157">
        <v>46168</v>
      </c>
      <c r="E22" s="157">
        <v>46168</v>
      </c>
      <c r="F22" s="33" t="s">
        <v>225</v>
      </c>
      <c r="G22" s="179" t="s">
        <v>649</v>
      </c>
      <c r="I22" s="32" t="s">
        <v>24</v>
      </c>
      <c r="J22" s="32" t="s">
        <v>25</v>
      </c>
      <c r="K22" s="82">
        <v>46094</v>
      </c>
      <c r="L22" s="82">
        <v>46104</v>
      </c>
      <c r="M22" s="83"/>
    </row>
    <row r="23" spans="1:15" x14ac:dyDescent="0.3">
      <c r="A23" s="24" t="s">
        <v>350</v>
      </c>
      <c r="B23" s="24" t="s">
        <v>6</v>
      </c>
      <c r="C23" s="24" t="s">
        <v>7</v>
      </c>
      <c r="D23" s="25">
        <v>45831</v>
      </c>
      <c r="E23" s="25">
        <v>45926</v>
      </c>
      <c r="F23" s="50" t="s">
        <v>8</v>
      </c>
      <c r="G23" s="49"/>
      <c r="I23" s="24" t="s">
        <v>568</v>
      </c>
      <c r="J23" s="24" t="s">
        <v>29</v>
      </c>
      <c r="K23" s="25">
        <v>46013</v>
      </c>
      <c r="L23" s="25">
        <v>46020</v>
      </c>
      <c r="M23" s="52"/>
    </row>
    <row r="24" spans="1:15" x14ac:dyDescent="0.3">
      <c r="A24" s="24" t="s">
        <v>350</v>
      </c>
      <c r="B24" s="24" t="s">
        <v>11</v>
      </c>
      <c r="C24" s="24" t="s">
        <v>78</v>
      </c>
      <c r="D24" s="25">
        <v>45831</v>
      </c>
      <c r="E24" s="25">
        <v>45926</v>
      </c>
      <c r="F24" s="52" t="s">
        <v>13</v>
      </c>
      <c r="G24" s="49"/>
      <c r="I24" s="24" t="s">
        <v>568</v>
      </c>
      <c r="J24" s="24" t="s">
        <v>10</v>
      </c>
      <c r="K24" s="25">
        <v>46001</v>
      </c>
      <c r="L24" s="25">
        <v>46010</v>
      </c>
      <c r="M24" s="52"/>
    </row>
    <row r="25" spans="1:15" x14ac:dyDescent="0.3">
      <c r="A25" s="24" t="s">
        <v>350</v>
      </c>
      <c r="B25" s="24" t="s">
        <v>15</v>
      </c>
      <c r="C25" s="24" t="s">
        <v>16</v>
      </c>
      <c r="D25" s="25">
        <v>45824</v>
      </c>
      <c r="E25" s="25">
        <v>45940</v>
      </c>
      <c r="F25" s="52" t="s">
        <v>17</v>
      </c>
      <c r="G25" s="49"/>
      <c r="I25" s="24" t="s">
        <v>569</v>
      </c>
      <c r="J25" s="24" t="s">
        <v>78</v>
      </c>
      <c r="K25" s="25">
        <v>46000</v>
      </c>
      <c r="L25" s="25">
        <v>46020</v>
      </c>
      <c r="M25" s="52"/>
    </row>
    <row r="26" spans="1:15" x14ac:dyDescent="0.3">
      <c r="A26" s="24" t="s">
        <v>350</v>
      </c>
      <c r="B26" s="24" t="s">
        <v>19</v>
      </c>
      <c r="C26" s="24" t="s">
        <v>18</v>
      </c>
      <c r="D26" s="25">
        <v>45845</v>
      </c>
      <c r="E26" s="25">
        <v>45940</v>
      </c>
      <c r="F26" s="52" t="s">
        <v>98</v>
      </c>
      <c r="G26" s="49"/>
      <c r="I26" s="24" t="s">
        <v>569</v>
      </c>
      <c r="J26" s="24" t="s">
        <v>224</v>
      </c>
      <c r="K26" s="25">
        <v>46027</v>
      </c>
      <c r="L26" s="25">
        <v>46038</v>
      </c>
      <c r="M26" s="52"/>
    </row>
    <row r="27" spans="1:15" x14ac:dyDescent="0.3">
      <c r="A27" s="24" t="s">
        <v>350</v>
      </c>
      <c r="B27" s="24" t="s">
        <v>21</v>
      </c>
      <c r="C27" s="24" t="s">
        <v>22</v>
      </c>
      <c r="D27" s="25">
        <v>45845</v>
      </c>
      <c r="E27" s="25">
        <v>45863</v>
      </c>
      <c r="F27" s="52" t="s">
        <v>28</v>
      </c>
      <c r="G27" s="49" t="s">
        <v>396</v>
      </c>
      <c r="I27" s="32" t="s">
        <v>569</v>
      </c>
      <c r="J27" s="2" t="s">
        <v>18</v>
      </c>
      <c r="K27" s="4">
        <v>46048</v>
      </c>
      <c r="L27" s="4">
        <v>46058</v>
      </c>
      <c r="M27" s="38"/>
    </row>
    <row r="28" spans="1:15" x14ac:dyDescent="0.3">
      <c r="A28" s="24" t="s">
        <v>350</v>
      </c>
      <c r="B28" s="24" t="s">
        <v>21</v>
      </c>
      <c r="C28" s="24" t="s">
        <v>22</v>
      </c>
      <c r="D28" s="25">
        <v>45880</v>
      </c>
      <c r="E28" s="25">
        <v>45940</v>
      </c>
      <c r="F28" s="52" t="s">
        <v>28</v>
      </c>
      <c r="G28" s="51" t="s">
        <v>397</v>
      </c>
      <c r="I28" s="32" t="s">
        <v>623</v>
      </c>
      <c r="J28" s="2" t="s">
        <v>14</v>
      </c>
      <c r="K28" s="4">
        <v>46052</v>
      </c>
      <c r="L28" s="4">
        <v>46058</v>
      </c>
      <c r="M28" s="38"/>
    </row>
    <row r="29" spans="1:15" x14ac:dyDescent="0.3">
      <c r="A29" s="24" t="s">
        <v>350</v>
      </c>
      <c r="B29" s="24" t="s">
        <v>21</v>
      </c>
      <c r="C29" s="24" t="s">
        <v>29</v>
      </c>
      <c r="D29" s="25">
        <v>45908</v>
      </c>
      <c r="E29" s="25">
        <v>45940</v>
      </c>
      <c r="F29" s="52" t="s">
        <v>111</v>
      </c>
      <c r="G29" s="49" t="s">
        <v>397</v>
      </c>
      <c r="I29" s="32" t="s">
        <v>24</v>
      </c>
      <c r="J29" s="2" t="s">
        <v>25</v>
      </c>
      <c r="K29" s="4">
        <v>46331</v>
      </c>
      <c r="L29" s="4">
        <v>46339</v>
      </c>
      <c r="M29" s="38"/>
      <c r="O29" t="s">
        <v>633</v>
      </c>
    </row>
    <row r="30" spans="1:15" x14ac:dyDescent="0.3">
      <c r="A30" s="24" t="s">
        <v>350</v>
      </c>
      <c r="B30" s="24" t="s">
        <v>144</v>
      </c>
      <c r="C30" s="24" t="s">
        <v>25</v>
      </c>
      <c r="D30" s="25">
        <v>45943</v>
      </c>
      <c r="E30" s="25">
        <v>45943</v>
      </c>
      <c r="F30" s="52" t="s">
        <v>225</v>
      </c>
      <c r="G30" s="49" t="s">
        <v>530</v>
      </c>
      <c r="I30" s="32" t="s">
        <v>569</v>
      </c>
      <c r="J30" s="2" t="s">
        <v>10</v>
      </c>
      <c r="K30" s="4">
        <v>46114</v>
      </c>
      <c r="L30" s="4">
        <v>46122</v>
      </c>
      <c r="M30" s="38"/>
    </row>
    <row r="31" spans="1:15" x14ac:dyDescent="0.3">
      <c r="A31" s="24" t="s">
        <v>350</v>
      </c>
      <c r="B31" s="24" t="s">
        <v>152</v>
      </c>
      <c r="C31" s="24" t="s">
        <v>25</v>
      </c>
      <c r="D31" s="25">
        <v>45974</v>
      </c>
      <c r="E31" s="25">
        <v>45974</v>
      </c>
      <c r="F31" s="52" t="s">
        <v>225</v>
      </c>
      <c r="G31" s="49" t="s">
        <v>599</v>
      </c>
      <c r="I31" s="32" t="s">
        <v>569</v>
      </c>
      <c r="J31" s="2" t="s">
        <v>14</v>
      </c>
      <c r="K31" s="4">
        <v>46111</v>
      </c>
      <c r="L31" s="4">
        <v>46115</v>
      </c>
      <c r="M31" s="38"/>
    </row>
    <row r="32" spans="1:15" x14ac:dyDescent="0.3">
      <c r="A32" s="24" t="s">
        <v>353</v>
      </c>
      <c r="B32" s="24" t="s">
        <v>6</v>
      </c>
      <c r="C32" s="24" t="s">
        <v>7</v>
      </c>
      <c r="D32" s="25">
        <v>45929</v>
      </c>
      <c r="E32" s="25">
        <v>45975</v>
      </c>
      <c r="F32" s="52" t="s">
        <v>8</v>
      </c>
      <c r="G32" s="49"/>
      <c r="I32" s="32" t="s">
        <v>467</v>
      </c>
      <c r="J32" s="2" t="s">
        <v>224</v>
      </c>
      <c r="K32" s="4">
        <v>46041</v>
      </c>
      <c r="L32" s="4">
        <v>46122</v>
      </c>
      <c r="M32" s="38" t="s">
        <v>263</v>
      </c>
    </row>
    <row r="33" spans="1:7" x14ac:dyDescent="0.3">
      <c r="A33" s="24" t="s">
        <v>353</v>
      </c>
      <c r="B33" s="24" t="s">
        <v>11</v>
      </c>
      <c r="C33" s="24" t="s">
        <v>14</v>
      </c>
      <c r="D33" s="25">
        <v>45936</v>
      </c>
      <c r="E33" s="25">
        <v>45975</v>
      </c>
      <c r="F33" s="52" t="s">
        <v>75</v>
      </c>
      <c r="G33" s="49"/>
    </row>
    <row r="34" spans="1:7" x14ac:dyDescent="0.3">
      <c r="A34" s="24" t="s">
        <v>353</v>
      </c>
      <c r="B34" s="24" t="s">
        <v>80</v>
      </c>
      <c r="C34" s="24" t="s">
        <v>10</v>
      </c>
      <c r="D34" s="25">
        <v>45936</v>
      </c>
      <c r="E34" s="25">
        <v>45975</v>
      </c>
      <c r="F34" s="52" t="s">
        <v>101</v>
      </c>
      <c r="G34" s="49"/>
    </row>
    <row r="35" spans="1:7" x14ac:dyDescent="0.3">
      <c r="A35" s="24" t="s">
        <v>353</v>
      </c>
      <c r="B35" s="24" t="s">
        <v>21</v>
      </c>
      <c r="C35" s="24" t="s">
        <v>22</v>
      </c>
      <c r="D35" s="25">
        <v>45957</v>
      </c>
      <c r="E35" s="25">
        <v>45975</v>
      </c>
      <c r="F35" s="52" t="s">
        <v>28</v>
      </c>
      <c r="G35" s="49"/>
    </row>
    <row r="36" spans="1:7" x14ac:dyDescent="0.3">
      <c r="A36" s="24" t="s">
        <v>353</v>
      </c>
      <c r="B36" s="24" t="s">
        <v>26</v>
      </c>
      <c r="C36" s="24" t="s">
        <v>27</v>
      </c>
      <c r="D36" s="25">
        <v>45971</v>
      </c>
      <c r="E36" s="25">
        <v>45979</v>
      </c>
      <c r="F36" s="52" t="s">
        <v>31</v>
      </c>
      <c r="G36" s="49"/>
    </row>
    <row r="37" spans="1:7" x14ac:dyDescent="0.3">
      <c r="A37" s="24" t="s">
        <v>353</v>
      </c>
      <c r="B37" s="24" t="s">
        <v>145</v>
      </c>
      <c r="C37" s="24" t="s">
        <v>25</v>
      </c>
      <c r="D37" s="25">
        <v>45979</v>
      </c>
      <c r="E37" s="25">
        <v>45979</v>
      </c>
      <c r="F37" s="52" t="s">
        <v>225</v>
      </c>
      <c r="G37" s="49" t="s">
        <v>573</v>
      </c>
    </row>
    <row r="38" spans="1:7" x14ac:dyDescent="0.3">
      <c r="A38" s="24" t="s">
        <v>353</v>
      </c>
      <c r="B38" s="24" t="s">
        <v>152</v>
      </c>
      <c r="C38" s="24" t="s">
        <v>25</v>
      </c>
      <c r="D38" s="25">
        <v>45987</v>
      </c>
      <c r="E38" s="25">
        <v>45987</v>
      </c>
      <c r="F38" s="52" t="s">
        <v>225</v>
      </c>
      <c r="G38" s="49" t="s">
        <v>601</v>
      </c>
    </row>
    <row r="39" spans="1:7" x14ac:dyDescent="0.3">
      <c r="A39" s="24" t="s">
        <v>353</v>
      </c>
      <c r="B39" s="24" t="s">
        <v>152</v>
      </c>
      <c r="C39" s="24" t="s">
        <v>25</v>
      </c>
      <c r="D39" s="25">
        <v>45993</v>
      </c>
      <c r="E39" s="25">
        <v>45993</v>
      </c>
      <c r="F39" s="52" t="s">
        <v>225</v>
      </c>
      <c r="G39" s="49" t="s">
        <v>600</v>
      </c>
    </row>
    <row r="40" spans="1:7" x14ac:dyDescent="0.3">
      <c r="A40" s="24" t="s">
        <v>570</v>
      </c>
      <c r="B40" s="24" t="s">
        <v>6</v>
      </c>
      <c r="C40" s="24" t="s">
        <v>7</v>
      </c>
      <c r="D40" s="25">
        <v>45950</v>
      </c>
      <c r="E40" s="25">
        <v>45968</v>
      </c>
      <c r="F40" s="50" t="s">
        <v>8</v>
      </c>
      <c r="G40" s="49"/>
    </row>
    <row r="41" spans="1:7" x14ac:dyDescent="0.3">
      <c r="A41" s="24" t="s">
        <v>570</v>
      </c>
      <c r="B41" s="24" t="s">
        <v>11</v>
      </c>
      <c r="C41" s="24" t="s">
        <v>14</v>
      </c>
      <c r="D41" s="25">
        <v>45950</v>
      </c>
      <c r="E41" s="25">
        <v>45968</v>
      </c>
      <c r="F41" s="50" t="s">
        <v>75</v>
      </c>
      <c r="G41" s="49"/>
    </row>
    <row r="42" spans="1:7" x14ac:dyDescent="0.3">
      <c r="A42" s="24" t="s">
        <v>570</v>
      </c>
      <c r="B42" s="24" t="s">
        <v>80</v>
      </c>
      <c r="C42" s="24" t="s">
        <v>10</v>
      </c>
      <c r="D42" s="25">
        <v>45971</v>
      </c>
      <c r="E42" s="25">
        <v>45989</v>
      </c>
      <c r="F42" s="52" t="s">
        <v>101</v>
      </c>
      <c r="G42" s="49"/>
    </row>
    <row r="43" spans="1:7" x14ac:dyDescent="0.3">
      <c r="A43" s="24" t="s">
        <v>570</v>
      </c>
      <c r="B43" s="24" t="s">
        <v>21</v>
      </c>
      <c r="C43" s="24" t="s">
        <v>22</v>
      </c>
      <c r="D43" s="25">
        <v>45978</v>
      </c>
      <c r="E43" s="25">
        <v>45996</v>
      </c>
      <c r="F43" s="52" t="s">
        <v>28</v>
      </c>
      <c r="G43" s="49"/>
    </row>
    <row r="44" spans="1:7" x14ac:dyDescent="0.3">
      <c r="A44" s="24" t="s">
        <v>570</v>
      </c>
      <c r="B44" s="24" t="s">
        <v>145</v>
      </c>
      <c r="C44" s="24" t="s">
        <v>25</v>
      </c>
      <c r="D44" s="25">
        <v>46000</v>
      </c>
      <c r="E44" s="25">
        <v>46000</v>
      </c>
      <c r="F44" s="52" t="s">
        <v>225</v>
      </c>
      <c r="G44" s="49" t="s">
        <v>573</v>
      </c>
    </row>
    <row r="45" spans="1:7" x14ac:dyDescent="0.3">
      <c r="A45" s="2" t="s">
        <v>570</v>
      </c>
      <c r="B45" s="2" t="s">
        <v>152</v>
      </c>
      <c r="C45" s="2" t="s">
        <v>25</v>
      </c>
      <c r="D45" s="4">
        <v>46080</v>
      </c>
      <c r="E45" s="4">
        <v>46080</v>
      </c>
      <c r="F45" s="33" t="s">
        <v>225</v>
      </c>
      <c r="G45" s="36" t="s">
        <v>536</v>
      </c>
    </row>
    <row r="46" spans="1:7" x14ac:dyDescent="0.3">
      <c r="A46" s="32" t="s">
        <v>650</v>
      </c>
      <c r="B46" s="2" t="s">
        <v>6</v>
      </c>
      <c r="C46" s="2" t="s">
        <v>14</v>
      </c>
      <c r="D46" s="157">
        <v>46086</v>
      </c>
      <c r="E46" s="157">
        <v>46131</v>
      </c>
      <c r="F46" s="33" t="s">
        <v>75</v>
      </c>
      <c r="G46" s="36" t="s">
        <v>265</v>
      </c>
    </row>
    <row r="47" spans="1:7" x14ac:dyDescent="0.3">
      <c r="A47" s="32" t="s">
        <v>650</v>
      </c>
      <c r="B47" s="2" t="s">
        <v>6</v>
      </c>
      <c r="C47" s="2" t="s">
        <v>14</v>
      </c>
      <c r="D47" s="157">
        <v>46131</v>
      </c>
      <c r="E47" s="157">
        <v>46168</v>
      </c>
      <c r="F47" s="33" t="s">
        <v>75</v>
      </c>
      <c r="G47" s="36" t="s">
        <v>654</v>
      </c>
    </row>
    <row r="48" spans="1:7" x14ac:dyDescent="0.3">
      <c r="A48" s="32" t="s">
        <v>650</v>
      </c>
      <c r="B48" s="2" t="s">
        <v>6</v>
      </c>
      <c r="C48" s="2" t="s">
        <v>14</v>
      </c>
      <c r="D48" s="157">
        <v>46174</v>
      </c>
      <c r="E48" s="157">
        <v>46199</v>
      </c>
      <c r="F48" s="33" t="s">
        <v>75</v>
      </c>
      <c r="G48" s="36" t="s">
        <v>655</v>
      </c>
    </row>
    <row r="49" spans="1:7" x14ac:dyDescent="0.3">
      <c r="A49" s="32" t="s">
        <v>650</v>
      </c>
      <c r="B49" s="2" t="s">
        <v>6</v>
      </c>
      <c r="C49" s="2" t="s">
        <v>78</v>
      </c>
      <c r="D49" s="157">
        <v>45971</v>
      </c>
      <c r="E49" s="157">
        <v>46080</v>
      </c>
      <c r="F49" s="33" t="s">
        <v>13</v>
      </c>
      <c r="G49" s="36" t="s">
        <v>652</v>
      </c>
    </row>
    <row r="50" spans="1:7" x14ac:dyDescent="0.3">
      <c r="A50" s="140" t="s">
        <v>650</v>
      </c>
      <c r="B50" s="108" t="s">
        <v>15</v>
      </c>
      <c r="C50" s="108" t="s">
        <v>224</v>
      </c>
      <c r="D50" s="157">
        <v>46080</v>
      </c>
      <c r="E50" s="157">
        <v>46126</v>
      </c>
      <c r="F50" s="33" t="s">
        <v>92</v>
      </c>
      <c r="G50" s="36" t="s">
        <v>652</v>
      </c>
    </row>
    <row r="51" spans="1:7" x14ac:dyDescent="0.3">
      <c r="A51" s="32" t="s">
        <v>650</v>
      </c>
      <c r="B51" s="2" t="s">
        <v>19</v>
      </c>
      <c r="C51" s="2" t="s">
        <v>18</v>
      </c>
      <c r="D51" s="147">
        <v>46058</v>
      </c>
      <c r="E51" s="147">
        <v>46128</v>
      </c>
      <c r="F51" s="33" t="s">
        <v>98</v>
      </c>
      <c r="G51" s="36" t="s">
        <v>652</v>
      </c>
    </row>
    <row r="52" spans="1:7" x14ac:dyDescent="0.3">
      <c r="A52" s="32" t="s">
        <v>650</v>
      </c>
      <c r="B52" s="2" t="s">
        <v>80</v>
      </c>
      <c r="C52" s="2" t="s">
        <v>10</v>
      </c>
      <c r="D52" s="157">
        <v>46096</v>
      </c>
      <c r="E52" s="157">
        <v>46162</v>
      </c>
      <c r="F52" s="33" t="s">
        <v>101</v>
      </c>
      <c r="G52" s="36" t="s">
        <v>265</v>
      </c>
    </row>
    <row r="53" spans="1:7" x14ac:dyDescent="0.3">
      <c r="A53" s="32" t="s">
        <v>650</v>
      </c>
      <c r="B53" s="2" t="s">
        <v>21</v>
      </c>
      <c r="C53" s="2" t="s">
        <v>22</v>
      </c>
      <c r="D53" s="157">
        <v>46062</v>
      </c>
      <c r="E53" s="164">
        <v>46127</v>
      </c>
      <c r="F53" s="38" t="s">
        <v>28</v>
      </c>
      <c r="G53" s="36" t="s">
        <v>652</v>
      </c>
    </row>
    <row r="54" spans="1:7" x14ac:dyDescent="0.3">
      <c r="A54" s="140" t="s">
        <v>650</v>
      </c>
      <c r="B54" s="108" t="s">
        <v>21</v>
      </c>
      <c r="C54" s="108" t="s">
        <v>22</v>
      </c>
      <c r="D54" s="164">
        <v>46129</v>
      </c>
      <c r="E54" s="164">
        <v>46168</v>
      </c>
      <c r="F54" s="33" t="s">
        <v>28</v>
      </c>
      <c r="G54" s="111" t="s">
        <v>265</v>
      </c>
    </row>
    <row r="55" spans="1:7" x14ac:dyDescent="0.3">
      <c r="A55" s="32" t="s">
        <v>650</v>
      </c>
      <c r="B55" s="2" t="s">
        <v>21</v>
      </c>
      <c r="C55" s="2" t="s">
        <v>22</v>
      </c>
      <c r="D55" s="157">
        <v>46168</v>
      </c>
      <c r="E55" s="157">
        <v>46189</v>
      </c>
      <c r="F55" s="38" t="s">
        <v>28</v>
      </c>
      <c r="G55" s="36" t="s">
        <v>654</v>
      </c>
    </row>
    <row r="56" spans="1:7" x14ac:dyDescent="0.3">
      <c r="A56" s="32" t="s">
        <v>650</v>
      </c>
      <c r="B56" s="2" t="s">
        <v>26</v>
      </c>
      <c r="C56" s="2" t="s">
        <v>27</v>
      </c>
      <c r="D56" s="157">
        <v>46124</v>
      </c>
      <c r="E56" s="157">
        <v>46130</v>
      </c>
      <c r="F56" s="38" t="s">
        <v>31</v>
      </c>
      <c r="G56" s="36" t="s">
        <v>652</v>
      </c>
    </row>
    <row r="57" spans="1:7" x14ac:dyDescent="0.3">
      <c r="A57" s="32" t="s">
        <v>650</v>
      </c>
      <c r="B57" s="2" t="s">
        <v>26</v>
      </c>
      <c r="C57" s="2" t="s">
        <v>27</v>
      </c>
      <c r="D57" s="157">
        <v>46182</v>
      </c>
      <c r="E57" s="157">
        <v>46188</v>
      </c>
      <c r="F57" s="38" t="s">
        <v>31</v>
      </c>
      <c r="G57" s="36" t="s">
        <v>654</v>
      </c>
    </row>
    <row r="58" spans="1:7" x14ac:dyDescent="0.3">
      <c r="A58" s="32" t="s">
        <v>650</v>
      </c>
      <c r="B58" s="2" t="s">
        <v>26</v>
      </c>
      <c r="C58" s="2" t="s">
        <v>27</v>
      </c>
      <c r="D58" s="157">
        <v>46204</v>
      </c>
      <c r="E58" s="157">
        <v>46209</v>
      </c>
      <c r="F58" s="33" t="s">
        <v>31</v>
      </c>
      <c r="G58" s="36" t="s">
        <v>655</v>
      </c>
    </row>
    <row r="59" spans="1:7" x14ac:dyDescent="0.3">
      <c r="A59" s="32" t="s">
        <v>650</v>
      </c>
      <c r="B59" s="2" t="s">
        <v>144</v>
      </c>
      <c r="C59" s="2" t="s">
        <v>25</v>
      </c>
      <c r="D59" s="157">
        <v>46131</v>
      </c>
      <c r="E59" s="157">
        <v>46131</v>
      </c>
      <c r="F59" s="33" t="s">
        <v>225</v>
      </c>
      <c r="G59" s="36" t="s">
        <v>652</v>
      </c>
    </row>
    <row r="60" spans="1:7" x14ac:dyDescent="0.3">
      <c r="A60" s="140" t="s">
        <v>650</v>
      </c>
      <c r="B60" s="108" t="s">
        <v>144</v>
      </c>
      <c r="C60" s="108" t="s">
        <v>25</v>
      </c>
      <c r="D60" s="164">
        <v>46168</v>
      </c>
      <c r="E60" s="164">
        <v>46168</v>
      </c>
      <c r="F60" s="33" t="s">
        <v>225</v>
      </c>
      <c r="G60" s="111" t="s">
        <v>265</v>
      </c>
    </row>
    <row r="61" spans="1:7" x14ac:dyDescent="0.3">
      <c r="A61" s="32" t="s">
        <v>650</v>
      </c>
      <c r="B61" s="2" t="s">
        <v>152</v>
      </c>
      <c r="C61" s="2" t="s">
        <v>25</v>
      </c>
      <c r="D61" s="157">
        <v>46175</v>
      </c>
      <c r="E61" s="157">
        <v>46206</v>
      </c>
      <c r="F61" s="38" t="s">
        <v>225</v>
      </c>
      <c r="G61" s="36" t="s">
        <v>653</v>
      </c>
    </row>
    <row r="62" spans="1:7" x14ac:dyDescent="0.3">
      <c r="A62" s="32" t="s">
        <v>650</v>
      </c>
      <c r="B62" s="2" t="s">
        <v>144</v>
      </c>
      <c r="C62" s="2" t="s">
        <v>25</v>
      </c>
      <c r="D62" s="157">
        <v>46189</v>
      </c>
      <c r="E62" s="157">
        <v>46189</v>
      </c>
      <c r="F62" s="38" t="s">
        <v>225</v>
      </c>
      <c r="G62" s="36" t="s">
        <v>654</v>
      </c>
    </row>
    <row r="63" spans="1:7" x14ac:dyDescent="0.3">
      <c r="A63" s="32" t="s">
        <v>650</v>
      </c>
      <c r="B63" s="2" t="s">
        <v>152</v>
      </c>
      <c r="C63" s="2" t="s">
        <v>25</v>
      </c>
      <c r="D63" s="157">
        <v>46210</v>
      </c>
      <c r="E63" s="157">
        <v>46210</v>
      </c>
      <c r="F63" s="38" t="s">
        <v>225</v>
      </c>
      <c r="G63" s="36" t="s">
        <v>656</v>
      </c>
    </row>
    <row r="64" spans="1:7" x14ac:dyDescent="0.3">
      <c r="A64" s="24" t="s">
        <v>596</v>
      </c>
      <c r="B64" s="24" t="s">
        <v>6</v>
      </c>
      <c r="C64" s="24" t="s">
        <v>7</v>
      </c>
      <c r="D64" s="25">
        <v>45978</v>
      </c>
      <c r="E64" s="25">
        <v>45982</v>
      </c>
      <c r="F64" s="52" t="s">
        <v>8</v>
      </c>
      <c r="G64" s="49"/>
    </row>
    <row r="65" spans="1:7" x14ac:dyDescent="0.3">
      <c r="A65" s="24" t="s">
        <v>596</v>
      </c>
      <c r="B65" s="24" t="s">
        <v>11</v>
      </c>
      <c r="C65" s="24" t="s">
        <v>14</v>
      </c>
      <c r="D65" s="25">
        <v>45978</v>
      </c>
      <c r="E65" s="25">
        <v>45982</v>
      </c>
      <c r="F65" s="50" t="s">
        <v>75</v>
      </c>
      <c r="G65" s="49"/>
    </row>
    <row r="66" spans="1:7" x14ac:dyDescent="0.3">
      <c r="A66" s="24" t="s">
        <v>596</v>
      </c>
      <c r="B66" s="24" t="s">
        <v>80</v>
      </c>
      <c r="C66" s="24" t="s">
        <v>10</v>
      </c>
      <c r="D66" s="25">
        <v>45985</v>
      </c>
      <c r="E66" s="25">
        <v>45989</v>
      </c>
      <c r="F66" s="48" t="s">
        <v>101</v>
      </c>
      <c r="G66" s="49"/>
    </row>
    <row r="67" spans="1:7" x14ac:dyDescent="0.3">
      <c r="A67" s="24" t="s">
        <v>596</v>
      </c>
      <c r="B67" s="24" t="s">
        <v>21</v>
      </c>
      <c r="C67" s="24" t="s">
        <v>22</v>
      </c>
      <c r="D67" s="25">
        <v>45985</v>
      </c>
      <c r="E67" s="25">
        <v>45996</v>
      </c>
      <c r="F67" s="48" t="s">
        <v>28</v>
      </c>
      <c r="G67" s="49"/>
    </row>
    <row r="68" spans="1:7" x14ac:dyDescent="0.3">
      <c r="A68" s="24" t="s">
        <v>596</v>
      </c>
      <c r="B68" s="24" t="s">
        <v>26</v>
      </c>
      <c r="C68" s="24" t="s">
        <v>27</v>
      </c>
      <c r="D68" s="25">
        <v>45994</v>
      </c>
      <c r="E68" s="25">
        <v>46000</v>
      </c>
      <c r="F68" s="52" t="s">
        <v>31</v>
      </c>
      <c r="G68" s="49"/>
    </row>
    <row r="69" spans="1:7" x14ac:dyDescent="0.3">
      <c r="A69" s="24" t="s">
        <v>596</v>
      </c>
      <c r="B69" s="24" t="s">
        <v>145</v>
      </c>
      <c r="C69" s="24" t="s">
        <v>25</v>
      </c>
      <c r="D69" s="25">
        <v>46000</v>
      </c>
      <c r="E69" s="25">
        <v>46000</v>
      </c>
      <c r="F69" s="52" t="s">
        <v>225</v>
      </c>
      <c r="G69" s="49" t="s">
        <v>540</v>
      </c>
    </row>
    <row r="70" spans="1:7" x14ac:dyDescent="0.3">
      <c r="A70" s="24" t="s">
        <v>537</v>
      </c>
      <c r="B70" s="24" t="s">
        <v>6</v>
      </c>
      <c r="C70" s="24" t="s">
        <v>7</v>
      </c>
      <c r="D70" s="25">
        <v>45943</v>
      </c>
      <c r="E70" s="25">
        <v>45954</v>
      </c>
      <c r="F70" s="52" t="s">
        <v>8</v>
      </c>
      <c r="G70" s="49" t="s">
        <v>549</v>
      </c>
    </row>
    <row r="71" spans="1:7" x14ac:dyDescent="0.3">
      <c r="A71" s="24" t="s">
        <v>537</v>
      </c>
      <c r="B71" s="24" t="s">
        <v>11</v>
      </c>
      <c r="C71" s="24" t="s">
        <v>14</v>
      </c>
      <c r="D71" s="25">
        <v>45943</v>
      </c>
      <c r="E71" s="25">
        <v>45954</v>
      </c>
      <c r="F71" s="52" t="s">
        <v>75</v>
      </c>
      <c r="G71" s="49" t="s">
        <v>549</v>
      </c>
    </row>
    <row r="72" spans="1:7" x14ac:dyDescent="0.3">
      <c r="A72" s="24" t="s">
        <v>537</v>
      </c>
      <c r="B72" s="24" t="s">
        <v>80</v>
      </c>
      <c r="C72" s="24" t="s">
        <v>10</v>
      </c>
      <c r="D72" s="25">
        <v>45957</v>
      </c>
      <c r="E72" s="25">
        <v>45961</v>
      </c>
      <c r="F72" s="52" t="s">
        <v>101</v>
      </c>
      <c r="G72" s="49" t="s">
        <v>370</v>
      </c>
    </row>
    <row r="73" spans="1:7" x14ac:dyDescent="0.3">
      <c r="A73" s="24" t="s">
        <v>537</v>
      </c>
      <c r="B73" s="24" t="s">
        <v>21</v>
      </c>
      <c r="C73" s="24" t="s">
        <v>22</v>
      </c>
      <c r="D73" s="25">
        <v>45957</v>
      </c>
      <c r="E73" s="25">
        <v>45975</v>
      </c>
      <c r="F73" s="52" t="s">
        <v>28</v>
      </c>
      <c r="G73" s="49"/>
    </row>
    <row r="74" spans="1:7" x14ac:dyDescent="0.3">
      <c r="A74" s="24" t="s">
        <v>537</v>
      </c>
      <c r="B74" s="24" t="s">
        <v>26</v>
      </c>
      <c r="C74" s="24" t="s">
        <v>27</v>
      </c>
      <c r="D74" s="25">
        <v>45973</v>
      </c>
      <c r="E74" s="25">
        <v>45979</v>
      </c>
      <c r="F74" s="52" t="s">
        <v>31</v>
      </c>
      <c r="G74" s="49" t="s">
        <v>527</v>
      </c>
    </row>
    <row r="75" spans="1:7" x14ac:dyDescent="0.3">
      <c r="A75" s="24" t="s">
        <v>537</v>
      </c>
      <c r="B75" s="24" t="s">
        <v>145</v>
      </c>
      <c r="C75" s="24" t="s">
        <v>25</v>
      </c>
      <c r="D75" s="25">
        <v>45979</v>
      </c>
      <c r="E75" s="25">
        <v>45979</v>
      </c>
      <c r="F75" s="52" t="s">
        <v>225</v>
      </c>
      <c r="G75" s="49" t="s">
        <v>540</v>
      </c>
    </row>
    <row r="76" spans="1:7" x14ac:dyDescent="0.3">
      <c r="A76" s="24" t="s">
        <v>563</v>
      </c>
      <c r="B76" s="24" t="s">
        <v>6</v>
      </c>
      <c r="C76" s="24" t="s">
        <v>7</v>
      </c>
      <c r="D76" s="25">
        <v>45964</v>
      </c>
      <c r="E76" s="25">
        <v>46003</v>
      </c>
      <c r="F76" s="52" t="s">
        <v>8</v>
      </c>
      <c r="G76" s="49"/>
    </row>
    <row r="77" spans="1:7" x14ac:dyDescent="0.3">
      <c r="A77" s="24" t="s">
        <v>563</v>
      </c>
      <c r="B77" s="24" t="s">
        <v>11</v>
      </c>
      <c r="C77" s="24" t="s">
        <v>14</v>
      </c>
      <c r="D77" s="25">
        <v>45971</v>
      </c>
      <c r="E77" s="25">
        <v>46003</v>
      </c>
      <c r="F77" s="50" t="s">
        <v>75</v>
      </c>
      <c r="G77" s="49"/>
    </row>
    <row r="78" spans="1:7" x14ac:dyDescent="0.3">
      <c r="A78" s="24" t="s">
        <v>563</v>
      </c>
      <c r="B78" s="24" t="s">
        <v>80</v>
      </c>
      <c r="C78" s="24" t="s">
        <v>10</v>
      </c>
      <c r="D78" s="25">
        <v>45978</v>
      </c>
      <c r="E78" s="25">
        <v>46038</v>
      </c>
      <c r="F78" s="50" t="s">
        <v>101</v>
      </c>
      <c r="G78" s="49" t="s">
        <v>528</v>
      </c>
    </row>
    <row r="79" spans="1:7" x14ac:dyDescent="0.3">
      <c r="A79" s="24" t="s">
        <v>563</v>
      </c>
      <c r="B79" s="24" t="s">
        <v>21</v>
      </c>
      <c r="C79" s="24" t="s">
        <v>22</v>
      </c>
      <c r="D79" s="25">
        <v>45978</v>
      </c>
      <c r="E79" s="25">
        <v>46038</v>
      </c>
      <c r="F79" s="50" t="s">
        <v>28</v>
      </c>
      <c r="G79" s="49"/>
    </row>
    <row r="80" spans="1:7" x14ac:dyDescent="0.3">
      <c r="A80" s="24" t="s">
        <v>563</v>
      </c>
      <c r="B80" s="24" t="s">
        <v>26</v>
      </c>
      <c r="C80" s="24" t="s">
        <v>27</v>
      </c>
      <c r="D80" s="25">
        <v>46036</v>
      </c>
      <c r="E80" s="25">
        <v>46042</v>
      </c>
      <c r="F80" s="50" t="s">
        <v>31</v>
      </c>
      <c r="G80" s="49" t="s">
        <v>527</v>
      </c>
    </row>
    <row r="81" spans="1:7" x14ac:dyDescent="0.3">
      <c r="A81" s="45" t="s">
        <v>563</v>
      </c>
      <c r="B81" s="45" t="s">
        <v>145</v>
      </c>
      <c r="C81" s="45" t="s">
        <v>25</v>
      </c>
      <c r="D81" s="46">
        <v>46042</v>
      </c>
      <c r="E81" s="46">
        <v>46042</v>
      </c>
      <c r="F81" s="50" t="s">
        <v>225</v>
      </c>
      <c r="G81" s="51" t="s">
        <v>632</v>
      </c>
    </row>
    <row r="82" spans="1:7" x14ac:dyDescent="0.3">
      <c r="A82" s="24" t="s">
        <v>337</v>
      </c>
      <c r="B82" s="24" t="s">
        <v>6</v>
      </c>
      <c r="C82" s="24" t="s">
        <v>7</v>
      </c>
      <c r="D82" s="25">
        <v>45810</v>
      </c>
      <c r="E82" s="25">
        <v>45926</v>
      </c>
      <c r="F82" s="52" t="s">
        <v>8</v>
      </c>
      <c r="G82" s="49"/>
    </row>
    <row r="83" spans="1:7" x14ac:dyDescent="0.3">
      <c r="A83" s="24" t="s">
        <v>337</v>
      </c>
      <c r="B83" s="24" t="s">
        <v>11</v>
      </c>
      <c r="C83" s="24" t="s">
        <v>78</v>
      </c>
      <c r="D83" s="25">
        <v>45824</v>
      </c>
      <c r="E83" s="25">
        <v>45926</v>
      </c>
      <c r="F83" s="52" t="s">
        <v>13</v>
      </c>
      <c r="G83" s="49"/>
    </row>
    <row r="84" spans="1:7" x14ac:dyDescent="0.3">
      <c r="A84" s="45" t="s">
        <v>337</v>
      </c>
      <c r="B84" s="45" t="s">
        <v>15</v>
      </c>
      <c r="C84" s="45" t="s">
        <v>16</v>
      </c>
      <c r="D84" s="46">
        <v>45831</v>
      </c>
      <c r="E84" s="25">
        <v>45933</v>
      </c>
      <c r="F84" s="50" t="s">
        <v>17</v>
      </c>
      <c r="G84" s="51"/>
    </row>
    <row r="85" spans="1:7" x14ac:dyDescent="0.3">
      <c r="A85" s="24" t="s">
        <v>337</v>
      </c>
      <c r="B85" s="24" t="s">
        <v>19</v>
      </c>
      <c r="C85" s="24" t="s">
        <v>18</v>
      </c>
      <c r="D85" s="25">
        <v>45845</v>
      </c>
      <c r="E85" s="25">
        <v>45933</v>
      </c>
      <c r="F85" s="52" t="s">
        <v>98</v>
      </c>
      <c r="G85" s="49"/>
    </row>
    <row r="86" spans="1:7" x14ac:dyDescent="0.3">
      <c r="A86" s="24" t="s">
        <v>337</v>
      </c>
      <c r="B86" s="24" t="s">
        <v>21</v>
      </c>
      <c r="C86" s="24" t="s">
        <v>22</v>
      </c>
      <c r="D86" s="25">
        <v>45880</v>
      </c>
      <c r="E86" s="25">
        <v>45940</v>
      </c>
      <c r="F86" s="52" t="s">
        <v>28</v>
      </c>
      <c r="G86" s="49"/>
    </row>
    <row r="87" spans="1:7" x14ac:dyDescent="0.3">
      <c r="A87" s="24" t="s">
        <v>337</v>
      </c>
      <c r="B87" s="24" t="s">
        <v>145</v>
      </c>
      <c r="C87" s="24" t="s">
        <v>25</v>
      </c>
      <c r="D87" s="25">
        <v>45943</v>
      </c>
      <c r="E87" s="25">
        <v>45943</v>
      </c>
      <c r="F87" s="52" t="s">
        <v>225</v>
      </c>
      <c r="G87" s="49" t="s">
        <v>402</v>
      </c>
    </row>
    <row r="88" spans="1:7" x14ac:dyDescent="0.3">
      <c r="A88" s="45" t="s">
        <v>588</v>
      </c>
      <c r="B88" s="45" t="s">
        <v>6</v>
      </c>
      <c r="C88" s="45" t="s">
        <v>7</v>
      </c>
      <c r="D88" s="46">
        <v>45943</v>
      </c>
      <c r="E88" s="46">
        <v>45964</v>
      </c>
      <c r="F88" s="50" t="s">
        <v>8</v>
      </c>
      <c r="G88" s="51"/>
    </row>
    <row r="89" spans="1:7" x14ac:dyDescent="0.3">
      <c r="A89" s="24" t="s">
        <v>588</v>
      </c>
      <c r="B89" s="24" t="s">
        <v>11</v>
      </c>
      <c r="C89" s="24" t="s">
        <v>14</v>
      </c>
      <c r="D89" s="25">
        <v>45950</v>
      </c>
      <c r="E89" s="25">
        <v>45964</v>
      </c>
      <c r="F89" s="52" t="s">
        <v>75</v>
      </c>
      <c r="G89" s="49"/>
    </row>
    <row r="90" spans="1:7" x14ac:dyDescent="0.3">
      <c r="A90" s="24" t="s">
        <v>588</v>
      </c>
      <c r="B90" s="24" t="s">
        <v>80</v>
      </c>
      <c r="C90" s="24" t="s">
        <v>10</v>
      </c>
      <c r="D90" s="25">
        <v>45965</v>
      </c>
      <c r="E90" s="25">
        <v>45975</v>
      </c>
      <c r="F90" s="52" t="s">
        <v>101</v>
      </c>
      <c r="G90" s="49" t="s">
        <v>370</v>
      </c>
    </row>
    <row r="91" spans="1:7" x14ac:dyDescent="0.3">
      <c r="A91" s="24" t="s">
        <v>588</v>
      </c>
      <c r="B91" s="24" t="s">
        <v>21</v>
      </c>
      <c r="C91" s="24" t="s">
        <v>22</v>
      </c>
      <c r="D91" s="25">
        <v>45965</v>
      </c>
      <c r="E91" s="25">
        <v>45975</v>
      </c>
      <c r="F91" s="52" t="s">
        <v>28</v>
      </c>
      <c r="G91" s="49" t="s">
        <v>370</v>
      </c>
    </row>
    <row r="92" spans="1:7" x14ac:dyDescent="0.3">
      <c r="A92" s="24" t="s">
        <v>588</v>
      </c>
      <c r="B92" s="24" t="s">
        <v>26</v>
      </c>
      <c r="C92" s="24" t="s">
        <v>27</v>
      </c>
      <c r="D92" s="25">
        <v>45973</v>
      </c>
      <c r="E92" s="25">
        <v>45979</v>
      </c>
      <c r="F92" s="52" t="s">
        <v>31</v>
      </c>
      <c r="G92" s="49"/>
    </row>
    <row r="93" spans="1:7" x14ac:dyDescent="0.3">
      <c r="A93" s="24" t="s">
        <v>588</v>
      </c>
      <c r="B93" s="24" t="s">
        <v>145</v>
      </c>
      <c r="C93" s="24" t="s">
        <v>25</v>
      </c>
      <c r="D93" s="25">
        <v>45979</v>
      </c>
      <c r="E93" s="25">
        <v>45979</v>
      </c>
      <c r="F93" s="52" t="s">
        <v>225</v>
      </c>
      <c r="G93" s="49" t="s">
        <v>591</v>
      </c>
    </row>
    <row r="94" spans="1:7" x14ac:dyDescent="0.3">
      <c r="A94" s="24" t="s">
        <v>560</v>
      </c>
      <c r="B94" s="24" t="s">
        <v>6</v>
      </c>
      <c r="C94" s="24" t="s">
        <v>7</v>
      </c>
      <c r="D94" s="25">
        <v>45943</v>
      </c>
      <c r="E94" s="25">
        <v>45982</v>
      </c>
      <c r="F94" s="52" t="s">
        <v>8</v>
      </c>
      <c r="G94" s="49"/>
    </row>
    <row r="95" spans="1:7" x14ac:dyDescent="0.3">
      <c r="A95" s="24" t="s">
        <v>560</v>
      </c>
      <c r="B95" s="24" t="s">
        <v>11</v>
      </c>
      <c r="C95" s="24" t="s">
        <v>14</v>
      </c>
      <c r="D95" s="25">
        <v>45950</v>
      </c>
      <c r="E95" s="25">
        <v>45989</v>
      </c>
      <c r="F95" s="52" t="s">
        <v>75</v>
      </c>
      <c r="G95" s="49"/>
    </row>
    <row r="96" spans="1:7" x14ac:dyDescent="0.3">
      <c r="A96" s="24" t="s">
        <v>560</v>
      </c>
      <c r="B96" s="24" t="s">
        <v>80</v>
      </c>
      <c r="C96" s="24" t="s">
        <v>10</v>
      </c>
      <c r="D96" s="25">
        <v>45992</v>
      </c>
      <c r="E96" s="25">
        <v>46031</v>
      </c>
      <c r="F96" s="52" t="s">
        <v>101</v>
      </c>
      <c r="G96" s="49"/>
    </row>
    <row r="97" spans="1:7" x14ac:dyDescent="0.3">
      <c r="A97" s="24" t="s">
        <v>560</v>
      </c>
      <c r="B97" s="24" t="s">
        <v>21</v>
      </c>
      <c r="C97" s="24" t="s">
        <v>22</v>
      </c>
      <c r="D97" s="25">
        <v>46001</v>
      </c>
      <c r="E97" s="25">
        <v>46038</v>
      </c>
      <c r="F97" s="52" t="s">
        <v>28</v>
      </c>
      <c r="G97" s="49"/>
    </row>
    <row r="98" spans="1:7" x14ac:dyDescent="0.3">
      <c r="A98" s="24" t="s">
        <v>560</v>
      </c>
      <c r="B98" s="24" t="s">
        <v>26</v>
      </c>
      <c r="C98" s="24" t="s">
        <v>27</v>
      </c>
      <c r="D98" s="25">
        <v>46034</v>
      </c>
      <c r="E98" s="25">
        <v>46042</v>
      </c>
      <c r="F98" s="52" t="s">
        <v>31</v>
      </c>
      <c r="G98" s="49" t="s">
        <v>562</v>
      </c>
    </row>
    <row r="99" spans="1:7" x14ac:dyDescent="0.3">
      <c r="A99" s="24" t="s">
        <v>560</v>
      </c>
      <c r="B99" s="24" t="s">
        <v>145</v>
      </c>
      <c r="C99" s="24" t="s">
        <v>25</v>
      </c>
      <c r="D99" s="25">
        <v>46042</v>
      </c>
      <c r="E99" s="25">
        <v>46042</v>
      </c>
      <c r="F99" s="52" t="s">
        <v>225</v>
      </c>
      <c r="G99" s="49" t="s">
        <v>561</v>
      </c>
    </row>
    <row r="100" spans="1:7" x14ac:dyDescent="0.3">
      <c r="A100" s="24" t="s">
        <v>484</v>
      </c>
      <c r="B100" s="24" t="s">
        <v>11</v>
      </c>
      <c r="C100" s="24" t="s">
        <v>14</v>
      </c>
      <c r="D100" s="25">
        <v>45943</v>
      </c>
      <c r="E100" s="25">
        <v>45975</v>
      </c>
      <c r="F100" s="52" t="s">
        <v>75</v>
      </c>
      <c r="G100" s="49"/>
    </row>
    <row r="101" spans="1:7" x14ac:dyDescent="0.3">
      <c r="A101" s="24" t="s">
        <v>484</v>
      </c>
      <c r="B101" s="24" t="s">
        <v>80</v>
      </c>
      <c r="C101" s="24" t="s">
        <v>10</v>
      </c>
      <c r="D101" s="25">
        <v>45978</v>
      </c>
      <c r="E101" s="25">
        <v>45989</v>
      </c>
      <c r="F101" s="52" t="s">
        <v>101</v>
      </c>
      <c r="G101" s="49"/>
    </row>
    <row r="102" spans="1:7" x14ac:dyDescent="0.3">
      <c r="A102" s="24" t="s">
        <v>484</v>
      </c>
      <c r="B102" s="24" t="s">
        <v>21</v>
      </c>
      <c r="C102" s="24" t="s">
        <v>22</v>
      </c>
      <c r="D102" s="25">
        <v>45978</v>
      </c>
      <c r="E102" s="25">
        <v>46038</v>
      </c>
      <c r="F102" s="52" t="s">
        <v>28</v>
      </c>
      <c r="G102" s="49"/>
    </row>
    <row r="103" spans="1:7" x14ac:dyDescent="0.3">
      <c r="A103" s="24" t="s">
        <v>484</v>
      </c>
      <c r="B103" s="24" t="s">
        <v>21</v>
      </c>
      <c r="C103" s="24" t="s">
        <v>29</v>
      </c>
      <c r="D103" s="25">
        <v>45992</v>
      </c>
      <c r="E103" s="25">
        <v>46031</v>
      </c>
      <c r="F103" s="52" t="s">
        <v>111</v>
      </c>
      <c r="G103" s="49" t="s">
        <v>577</v>
      </c>
    </row>
    <row r="104" spans="1:7" x14ac:dyDescent="0.3">
      <c r="A104" s="24" t="s">
        <v>484</v>
      </c>
      <c r="B104" s="24" t="s">
        <v>26</v>
      </c>
      <c r="C104" s="24" t="s">
        <v>27</v>
      </c>
      <c r="D104" s="25">
        <v>45994</v>
      </c>
      <c r="E104" s="25">
        <v>46000</v>
      </c>
      <c r="F104" s="52" t="s">
        <v>31</v>
      </c>
      <c r="G104" s="49" t="s">
        <v>527</v>
      </c>
    </row>
    <row r="105" spans="1:7" x14ac:dyDescent="0.3">
      <c r="A105" s="24" t="s">
        <v>484</v>
      </c>
      <c r="B105" s="24" t="s">
        <v>145</v>
      </c>
      <c r="C105" s="24" t="s">
        <v>25</v>
      </c>
      <c r="D105" s="25">
        <v>46000</v>
      </c>
      <c r="E105" s="25">
        <v>46000</v>
      </c>
      <c r="F105" s="52" t="s">
        <v>225</v>
      </c>
      <c r="G105" s="49" t="s">
        <v>617</v>
      </c>
    </row>
    <row r="106" spans="1:7" x14ac:dyDescent="0.3">
      <c r="A106" s="24" t="s">
        <v>454</v>
      </c>
      <c r="B106" s="24" t="s">
        <v>6</v>
      </c>
      <c r="C106" s="24" t="s">
        <v>7</v>
      </c>
      <c r="D106" s="25">
        <v>45887</v>
      </c>
      <c r="E106" s="25">
        <v>45910</v>
      </c>
      <c r="F106" s="52" t="s">
        <v>8</v>
      </c>
      <c r="G106" s="49"/>
    </row>
    <row r="107" spans="1:7" x14ac:dyDescent="0.3">
      <c r="A107" s="24" t="s">
        <v>454</v>
      </c>
      <c r="B107" s="24" t="s">
        <v>11</v>
      </c>
      <c r="C107" s="24" t="s">
        <v>14</v>
      </c>
      <c r="D107" s="25">
        <v>45887</v>
      </c>
      <c r="E107" s="25">
        <v>45910</v>
      </c>
      <c r="F107" s="52" t="s">
        <v>75</v>
      </c>
      <c r="G107" s="49"/>
    </row>
    <row r="108" spans="1:7" x14ac:dyDescent="0.3">
      <c r="A108" s="24" t="s">
        <v>454</v>
      </c>
      <c r="B108" s="24" t="s">
        <v>26</v>
      </c>
      <c r="C108" s="24" t="s">
        <v>27</v>
      </c>
      <c r="D108" s="25">
        <v>45911</v>
      </c>
      <c r="E108" s="25">
        <v>45916</v>
      </c>
      <c r="F108" s="52" t="s">
        <v>31</v>
      </c>
      <c r="G108" s="49" t="s">
        <v>456</v>
      </c>
    </row>
    <row r="109" spans="1:7" x14ac:dyDescent="0.3">
      <c r="A109" s="24" t="s">
        <v>454</v>
      </c>
      <c r="B109" s="24" t="s">
        <v>145</v>
      </c>
      <c r="C109" s="24" t="s">
        <v>25</v>
      </c>
      <c r="D109" s="25">
        <v>45916</v>
      </c>
      <c r="E109" s="25">
        <v>45916</v>
      </c>
      <c r="F109" s="52" t="s">
        <v>225</v>
      </c>
      <c r="G109" s="49" t="s">
        <v>482</v>
      </c>
    </row>
    <row r="110" spans="1:7" x14ac:dyDescent="0.3">
      <c r="A110" s="24" t="s">
        <v>612</v>
      </c>
      <c r="B110" s="24" t="s">
        <v>11</v>
      </c>
      <c r="C110" s="24" t="s">
        <v>14</v>
      </c>
      <c r="D110" s="25">
        <v>45978</v>
      </c>
      <c r="E110" s="25">
        <v>46001</v>
      </c>
      <c r="F110" s="52" t="s">
        <v>75</v>
      </c>
      <c r="G110" s="49"/>
    </row>
    <row r="111" spans="1:7" x14ac:dyDescent="0.3">
      <c r="A111" s="24" t="s">
        <v>612</v>
      </c>
      <c r="B111" s="24" t="s">
        <v>80</v>
      </c>
      <c r="C111" s="24" t="s">
        <v>10</v>
      </c>
      <c r="D111" s="25">
        <v>45985</v>
      </c>
      <c r="E111" s="25">
        <v>46038</v>
      </c>
      <c r="F111" s="52" t="s">
        <v>101</v>
      </c>
      <c r="G111" s="49"/>
    </row>
    <row r="112" spans="1:7" x14ac:dyDescent="0.3">
      <c r="A112" s="24" t="s">
        <v>612</v>
      </c>
      <c r="B112" s="24" t="s">
        <v>21</v>
      </c>
      <c r="C112" s="24" t="s">
        <v>22</v>
      </c>
      <c r="D112" s="25">
        <v>45992</v>
      </c>
      <c r="E112" s="25">
        <v>46038</v>
      </c>
      <c r="F112" s="52" t="s">
        <v>28</v>
      </c>
      <c r="G112" s="49" t="s">
        <v>614</v>
      </c>
    </row>
    <row r="113" spans="1:7" x14ac:dyDescent="0.3">
      <c r="A113" s="24" t="s">
        <v>612</v>
      </c>
      <c r="B113" s="24" t="s">
        <v>26</v>
      </c>
      <c r="C113" s="24" t="s">
        <v>27</v>
      </c>
      <c r="D113" s="25">
        <v>46036</v>
      </c>
      <c r="E113" s="25">
        <v>46042</v>
      </c>
      <c r="F113" s="52" t="s">
        <v>31</v>
      </c>
      <c r="G113" s="49"/>
    </row>
    <row r="114" spans="1:7" x14ac:dyDescent="0.3">
      <c r="A114" s="24" t="s">
        <v>612</v>
      </c>
      <c r="B114" s="24" t="s">
        <v>145</v>
      </c>
      <c r="C114" s="24" t="s">
        <v>25</v>
      </c>
      <c r="D114" s="25">
        <v>46042</v>
      </c>
      <c r="E114" s="25">
        <v>46042</v>
      </c>
      <c r="F114" s="50" t="s">
        <v>225</v>
      </c>
      <c r="G114" s="49" t="s">
        <v>615</v>
      </c>
    </row>
    <row r="115" spans="1:7" x14ac:dyDescent="0.3">
      <c r="A115" s="24" t="s">
        <v>475</v>
      </c>
      <c r="B115" s="24" t="s">
        <v>6</v>
      </c>
      <c r="C115" s="24" t="s">
        <v>7</v>
      </c>
      <c r="D115" s="25">
        <v>45943</v>
      </c>
      <c r="E115" s="25">
        <v>45961</v>
      </c>
      <c r="F115" s="50" t="s">
        <v>8</v>
      </c>
      <c r="G115" s="49"/>
    </row>
    <row r="116" spans="1:7" x14ac:dyDescent="0.3">
      <c r="A116" s="24" t="s">
        <v>475</v>
      </c>
      <c r="B116" s="24" t="s">
        <v>11</v>
      </c>
      <c r="C116" s="24" t="s">
        <v>14</v>
      </c>
      <c r="D116" s="25">
        <v>45943</v>
      </c>
      <c r="E116" s="25">
        <v>45961</v>
      </c>
      <c r="F116" s="52" t="s">
        <v>75</v>
      </c>
      <c r="G116" s="49"/>
    </row>
    <row r="117" spans="1:7" x14ac:dyDescent="0.3">
      <c r="A117" s="24" t="s">
        <v>475</v>
      </c>
      <c r="B117" s="24" t="s">
        <v>80</v>
      </c>
      <c r="C117" s="24" t="s">
        <v>10</v>
      </c>
      <c r="D117" s="25">
        <v>45964</v>
      </c>
      <c r="E117" s="25">
        <v>45968</v>
      </c>
      <c r="F117" s="50" t="s">
        <v>101</v>
      </c>
      <c r="G117" s="49" t="s">
        <v>480</v>
      </c>
    </row>
    <row r="118" spans="1:7" x14ac:dyDescent="0.3">
      <c r="A118" s="24" t="s">
        <v>475</v>
      </c>
      <c r="B118" s="24" t="s">
        <v>21</v>
      </c>
      <c r="C118" s="24" t="s">
        <v>22</v>
      </c>
      <c r="D118" s="25">
        <v>45964</v>
      </c>
      <c r="E118" s="25">
        <v>45975</v>
      </c>
      <c r="F118" s="50" t="s">
        <v>28</v>
      </c>
      <c r="G118" s="49" t="s">
        <v>481</v>
      </c>
    </row>
    <row r="119" spans="1:7" x14ac:dyDescent="0.3">
      <c r="A119" s="24" t="s">
        <v>475</v>
      </c>
      <c r="B119" s="24" t="s">
        <v>26</v>
      </c>
      <c r="C119" s="24" t="s">
        <v>27</v>
      </c>
      <c r="D119" s="25">
        <v>45994</v>
      </c>
      <c r="E119" s="25">
        <v>46000</v>
      </c>
      <c r="F119" s="50" t="s">
        <v>31</v>
      </c>
      <c r="G119" s="49" t="s">
        <v>479</v>
      </c>
    </row>
    <row r="120" spans="1:7" x14ac:dyDescent="0.3">
      <c r="A120" s="45" t="s">
        <v>475</v>
      </c>
      <c r="B120" s="45" t="s">
        <v>144</v>
      </c>
      <c r="C120" s="45" t="s">
        <v>25</v>
      </c>
      <c r="D120" s="46">
        <v>45993</v>
      </c>
      <c r="E120" s="46">
        <v>45993</v>
      </c>
      <c r="F120" s="50" t="s">
        <v>225</v>
      </c>
      <c r="G120" s="51" t="s">
        <v>603</v>
      </c>
    </row>
    <row r="121" spans="1:7" x14ac:dyDescent="0.3">
      <c r="A121" s="24" t="s">
        <v>475</v>
      </c>
      <c r="B121" s="24" t="s">
        <v>145</v>
      </c>
      <c r="C121" s="24" t="s">
        <v>25</v>
      </c>
      <c r="D121" s="25">
        <v>46000</v>
      </c>
      <c r="E121" s="25">
        <v>46000</v>
      </c>
      <c r="F121" s="52" t="s">
        <v>225</v>
      </c>
      <c r="G121" s="49" t="s">
        <v>636</v>
      </c>
    </row>
    <row r="122" spans="1:7" x14ac:dyDescent="0.3">
      <c r="A122" s="24" t="s">
        <v>475</v>
      </c>
      <c r="B122" s="24" t="s">
        <v>145</v>
      </c>
      <c r="C122" s="24" t="s">
        <v>25</v>
      </c>
      <c r="D122" s="25">
        <v>46042</v>
      </c>
      <c r="E122" s="25">
        <v>46042</v>
      </c>
      <c r="F122" s="52" t="s">
        <v>225</v>
      </c>
      <c r="G122" s="49" t="s">
        <v>613</v>
      </c>
    </row>
    <row r="123" spans="1:7" x14ac:dyDescent="0.3">
      <c r="A123" s="24" t="s">
        <v>593</v>
      </c>
      <c r="B123" s="24" t="s">
        <v>80</v>
      </c>
      <c r="C123" s="24" t="s">
        <v>10</v>
      </c>
      <c r="D123" s="25">
        <v>45978</v>
      </c>
      <c r="E123" s="25">
        <v>46038</v>
      </c>
      <c r="F123" s="52" t="s">
        <v>101</v>
      </c>
      <c r="G123" s="49" t="s">
        <v>528</v>
      </c>
    </row>
    <row r="124" spans="1:7" x14ac:dyDescent="0.3">
      <c r="A124" s="24" t="s">
        <v>593</v>
      </c>
      <c r="B124" s="24" t="s">
        <v>21</v>
      </c>
      <c r="C124" s="24" t="s">
        <v>22</v>
      </c>
      <c r="D124" s="25">
        <v>45978</v>
      </c>
      <c r="E124" s="25">
        <v>46038</v>
      </c>
      <c r="F124" s="52" t="s">
        <v>28</v>
      </c>
      <c r="G124" s="49"/>
    </row>
    <row r="125" spans="1:7" x14ac:dyDescent="0.3">
      <c r="A125" s="24" t="s">
        <v>593</v>
      </c>
      <c r="B125" s="24" t="s">
        <v>26</v>
      </c>
      <c r="C125" s="24" t="s">
        <v>27</v>
      </c>
      <c r="D125" s="25">
        <v>46036</v>
      </c>
      <c r="E125" s="25">
        <v>46042</v>
      </c>
      <c r="F125" s="52" t="s">
        <v>31</v>
      </c>
      <c r="G125" s="49"/>
    </row>
    <row r="126" spans="1:7" x14ac:dyDescent="0.3">
      <c r="A126" s="24" t="s">
        <v>593</v>
      </c>
      <c r="B126" s="24" t="s">
        <v>145</v>
      </c>
      <c r="C126" s="24" t="s">
        <v>25</v>
      </c>
      <c r="D126" s="25">
        <v>46042</v>
      </c>
      <c r="E126" s="25">
        <v>46042</v>
      </c>
      <c r="F126" s="52" t="s">
        <v>225</v>
      </c>
      <c r="G126" s="49" t="s">
        <v>630</v>
      </c>
    </row>
    <row r="127" spans="1:7" x14ac:dyDescent="0.3">
      <c r="A127" s="24" t="s">
        <v>610</v>
      </c>
      <c r="B127" s="24" t="s">
        <v>11</v>
      </c>
      <c r="C127" s="24" t="s">
        <v>14</v>
      </c>
      <c r="D127" s="25">
        <v>45978</v>
      </c>
      <c r="E127" s="25">
        <v>46001</v>
      </c>
      <c r="F127" s="52" t="s">
        <v>75</v>
      </c>
      <c r="G127" s="49"/>
    </row>
    <row r="128" spans="1:7" x14ac:dyDescent="0.3">
      <c r="A128" s="24" t="s">
        <v>610</v>
      </c>
      <c r="B128" s="24" t="s">
        <v>80</v>
      </c>
      <c r="C128" s="24" t="s">
        <v>10</v>
      </c>
      <c r="D128" s="25">
        <v>45992</v>
      </c>
      <c r="E128" s="25">
        <v>46038</v>
      </c>
      <c r="F128" s="52" t="s">
        <v>101</v>
      </c>
      <c r="G128" s="49" t="s">
        <v>616</v>
      </c>
    </row>
    <row r="129" spans="1:7" x14ac:dyDescent="0.3">
      <c r="A129" s="24" t="s">
        <v>610</v>
      </c>
      <c r="B129" s="24" t="s">
        <v>21</v>
      </c>
      <c r="C129" s="24" t="s">
        <v>22</v>
      </c>
      <c r="D129" s="25">
        <v>45992</v>
      </c>
      <c r="E129" s="25">
        <v>46038</v>
      </c>
      <c r="F129" s="52" t="s">
        <v>28</v>
      </c>
      <c r="G129" s="49" t="s">
        <v>614</v>
      </c>
    </row>
    <row r="130" spans="1:7" x14ac:dyDescent="0.3">
      <c r="A130" s="24" t="s">
        <v>610</v>
      </c>
      <c r="B130" s="24" t="s">
        <v>145</v>
      </c>
      <c r="C130" s="24" t="s">
        <v>27</v>
      </c>
      <c r="D130" s="25">
        <v>46036</v>
      </c>
      <c r="E130" s="25">
        <v>46042</v>
      </c>
      <c r="F130" s="52" t="s">
        <v>31</v>
      </c>
      <c r="G130" s="49"/>
    </row>
    <row r="131" spans="1:7" x14ac:dyDescent="0.3">
      <c r="A131" s="24" t="s">
        <v>610</v>
      </c>
      <c r="B131" s="24" t="s">
        <v>145</v>
      </c>
      <c r="C131" s="24" t="s">
        <v>25</v>
      </c>
      <c r="D131" s="25">
        <v>46042</v>
      </c>
      <c r="E131" s="25">
        <v>46042</v>
      </c>
      <c r="F131" s="52" t="s">
        <v>225</v>
      </c>
      <c r="G131" s="49" t="s">
        <v>613</v>
      </c>
    </row>
    <row r="132" spans="1:7" x14ac:dyDescent="0.3">
      <c r="A132" s="24" t="s">
        <v>299</v>
      </c>
      <c r="B132" s="24" t="s">
        <v>6</v>
      </c>
      <c r="C132" s="24" t="s">
        <v>7</v>
      </c>
      <c r="D132" s="25">
        <v>45747</v>
      </c>
      <c r="E132" s="25">
        <v>45926</v>
      </c>
      <c r="F132" s="52" t="s">
        <v>8</v>
      </c>
      <c r="G132" s="49"/>
    </row>
    <row r="133" spans="1:7" x14ac:dyDescent="0.3">
      <c r="A133" s="24" t="s">
        <v>299</v>
      </c>
      <c r="B133" s="24" t="s">
        <v>11</v>
      </c>
      <c r="C133" s="24" t="s">
        <v>78</v>
      </c>
      <c r="D133" s="25">
        <v>45803</v>
      </c>
      <c r="E133" s="25">
        <v>45933</v>
      </c>
      <c r="F133" s="52" t="s">
        <v>13</v>
      </c>
      <c r="G133" s="49"/>
    </row>
    <row r="134" spans="1:7" x14ac:dyDescent="0.3">
      <c r="A134" s="24" t="s">
        <v>299</v>
      </c>
      <c r="B134" s="24" t="s">
        <v>15</v>
      </c>
      <c r="C134" s="24" t="s">
        <v>16</v>
      </c>
      <c r="D134" s="25">
        <v>45824</v>
      </c>
      <c r="E134" s="25">
        <v>45940</v>
      </c>
      <c r="F134" s="52" t="s">
        <v>17</v>
      </c>
      <c r="G134" s="49"/>
    </row>
    <row r="135" spans="1:7" x14ac:dyDescent="0.3">
      <c r="A135" s="24" t="s">
        <v>299</v>
      </c>
      <c r="B135" s="24" t="s">
        <v>19</v>
      </c>
      <c r="C135" s="24" t="s">
        <v>18</v>
      </c>
      <c r="D135" s="25">
        <v>45845</v>
      </c>
      <c r="E135" s="25">
        <v>45940</v>
      </c>
      <c r="F135" s="52" t="s">
        <v>98</v>
      </c>
      <c r="G135" s="49"/>
    </row>
    <row r="136" spans="1:7" x14ac:dyDescent="0.3">
      <c r="A136" s="24" t="s">
        <v>299</v>
      </c>
      <c r="B136" s="24" t="s">
        <v>21</v>
      </c>
      <c r="C136" s="24" t="s">
        <v>22</v>
      </c>
      <c r="D136" s="25">
        <v>45880</v>
      </c>
      <c r="E136" s="25">
        <v>45940</v>
      </c>
      <c r="F136" s="52" t="s">
        <v>28</v>
      </c>
      <c r="G136" s="49"/>
    </row>
    <row r="137" spans="1:7" x14ac:dyDescent="0.3">
      <c r="A137" s="24" t="s">
        <v>299</v>
      </c>
      <c r="B137" s="24" t="s">
        <v>26</v>
      </c>
      <c r="C137" s="24" t="s">
        <v>27</v>
      </c>
      <c r="D137" s="25">
        <v>45880</v>
      </c>
      <c r="E137" s="25">
        <v>45940</v>
      </c>
      <c r="F137" s="52" t="s">
        <v>31</v>
      </c>
      <c r="G137" s="49"/>
    </row>
    <row r="138" spans="1:7" x14ac:dyDescent="0.3">
      <c r="A138" s="24" t="s">
        <v>299</v>
      </c>
      <c r="B138" s="24" t="s">
        <v>144</v>
      </c>
      <c r="C138" s="24" t="s">
        <v>25</v>
      </c>
      <c r="D138" s="25">
        <v>45943</v>
      </c>
      <c r="E138" s="25">
        <v>45943</v>
      </c>
      <c r="F138" s="52" t="s">
        <v>225</v>
      </c>
      <c r="G138" s="49"/>
    </row>
    <row r="139" spans="1:7" x14ac:dyDescent="0.3">
      <c r="A139" s="24" t="s">
        <v>460</v>
      </c>
      <c r="B139" s="24" t="s">
        <v>6</v>
      </c>
      <c r="C139" s="24" t="s">
        <v>7</v>
      </c>
      <c r="D139" s="25">
        <v>45908</v>
      </c>
      <c r="E139" s="25">
        <v>45961</v>
      </c>
      <c r="F139" s="52" t="s">
        <v>8</v>
      </c>
      <c r="G139" s="49"/>
    </row>
    <row r="140" spans="1:7" x14ac:dyDescent="0.3">
      <c r="A140" s="24" t="s">
        <v>460</v>
      </c>
      <c r="B140" s="24" t="s">
        <v>11</v>
      </c>
      <c r="C140" s="24" t="s">
        <v>14</v>
      </c>
      <c r="D140" s="25">
        <v>45908</v>
      </c>
      <c r="E140" s="25">
        <v>45961</v>
      </c>
      <c r="F140" s="52" t="s">
        <v>75</v>
      </c>
      <c r="G140" s="49"/>
    </row>
    <row r="141" spans="1:7" x14ac:dyDescent="0.3">
      <c r="A141" s="24" t="s">
        <v>460</v>
      </c>
      <c r="B141" s="24" t="s">
        <v>80</v>
      </c>
      <c r="C141" s="24" t="s">
        <v>10</v>
      </c>
      <c r="D141" s="25">
        <v>45936</v>
      </c>
      <c r="E141" s="25">
        <v>45975</v>
      </c>
      <c r="F141" s="52" t="s">
        <v>101</v>
      </c>
      <c r="G141" s="49" t="s">
        <v>309</v>
      </c>
    </row>
    <row r="142" spans="1:7" x14ac:dyDescent="0.3">
      <c r="A142" s="24" t="s">
        <v>460</v>
      </c>
      <c r="B142" s="24" t="s">
        <v>21</v>
      </c>
      <c r="C142" s="24" t="s">
        <v>100</v>
      </c>
      <c r="D142" s="25">
        <v>45929</v>
      </c>
      <c r="E142" s="25">
        <v>45947</v>
      </c>
      <c r="F142" s="52" t="s">
        <v>106</v>
      </c>
      <c r="G142" s="49" t="s">
        <v>469</v>
      </c>
    </row>
    <row r="143" spans="1:7" x14ac:dyDescent="0.3">
      <c r="A143" s="24" t="s">
        <v>460</v>
      </c>
      <c r="B143" s="24" t="s">
        <v>21</v>
      </c>
      <c r="C143" s="24" t="s">
        <v>100</v>
      </c>
      <c r="D143" s="25">
        <v>45950</v>
      </c>
      <c r="E143" s="25">
        <v>45996</v>
      </c>
      <c r="F143" s="52" t="s">
        <v>106</v>
      </c>
      <c r="G143" s="49" t="s">
        <v>470</v>
      </c>
    </row>
    <row r="144" spans="1:7" x14ac:dyDescent="0.3">
      <c r="A144" s="24" t="s">
        <v>460</v>
      </c>
      <c r="B144" s="24" t="s">
        <v>21</v>
      </c>
      <c r="C144" s="24" t="s">
        <v>22</v>
      </c>
      <c r="D144" s="25">
        <v>45992</v>
      </c>
      <c r="E144" s="25">
        <v>45996</v>
      </c>
      <c r="F144" s="52" t="s">
        <v>28</v>
      </c>
      <c r="G144" s="49" t="s">
        <v>567</v>
      </c>
    </row>
    <row r="145" spans="1:7" x14ac:dyDescent="0.3">
      <c r="A145" s="24" t="s">
        <v>460</v>
      </c>
      <c r="B145" s="24" t="s">
        <v>21</v>
      </c>
      <c r="C145" s="24" t="s">
        <v>29</v>
      </c>
      <c r="D145" s="25">
        <v>45964</v>
      </c>
      <c r="E145" s="25">
        <v>45996</v>
      </c>
      <c r="F145" s="52" t="s">
        <v>111</v>
      </c>
      <c r="G145" s="49" t="s">
        <v>552</v>
      </c>
    </row>
    <row r="146" spans="1:7" x14ac:dyDescent="0.3">
      <c r="A146" s="24" t="s">
        <v>460</v>
      </c>
      <c r="B146" s="24" t="s">
        <v>26</v>
      </c>
      <c r="C146" s="24" t="s">
        <v>27</v>
      </c>
      <c r="D146" s="25">
        <v>45985</v>
      </c>
      <c r="E146" s="25">
        <v>46000</v>
      </c>
      <c r="F146" s="52" t="s">
        <v>31</v>
      </c>
      <c r="G146" s="49" t="s">
        <v>471</v>
      </c>
    </row>
    <row r="147" spans="1:7" x14ac:dyDescent="0.3">
      <c r="A147" s="24" t="s">
        <v>460</v>
      </c>
      <c r="B147" s="24" t="s">
        <v>145</v>
      </c>
      <c r="C147" s="24" t="s">
        <v>25</v>
      </c>
      <c r="D147" s="25">
        <v>46000</v>
      </c>
      <c r="E147" s="25">
        <v>46000</v>
      </c>
      <c r="F147" s="52" t="s">
        <v>225</v>
      </c>
      <c r="G147" s="49" t="s">
        <v>468</v>
      </c>
    </row>
    <row r="148" spans="1:7" x14ac:dyDescent="0.3">
      <c r="A148" s="24" t="s">
        <v>579</v>
      </c>
      <c r="B148" s="24" t="s">
        <v>6</v>
      </c>
      <c r="C148" s="24" t="s">
        <v>7</v>
      </c>
      <c r="D148" s="25">
        <v>45939</v>
      </c>
      <c r="E148" s="25">
        <v>45961</v>
      </c>
      <c r="F148" s="52" t="s">
        <v>8</v>
      </c>
      <c r="G148" s="49"/>
    </row>
    <row r="149" spans="1:7" x14ac:dyDescent="0.3">
      <c r="A149" s="24" t="s">
        <v>579</v>
      </c>
      <c r="B149" s="24" t="s">
        <v>11</v>
      </c>
      <c r="C149" s="24" t="s">
        <v>14</v>
      </c>
      <c r="D149" s="25">
        <v>45939</v>
      </c>
      <c r="E149" s="25">
        <v>45961</v>
      </c>
      <c r="F149" s="52" t="s">
        <v>75</v>
      </c>
      <c r="G149" s="49"/>
    </row>
    <row r="150" spans="1:7" x14ac:dyDescent="0.3">
      <c r="A150" s="24" t="s">
        <v>579</v>
      </c>
      <c r="B150" s="24" t="s">
        <v>80</v>
      </c>
      <c r="C150" s="24" t="s">
        <v>10</v>
      </c>
      <c r="D150" s="25">
        <v>45964</v>
      </c>
      <c r="E150" s="25">
        <v>45975</v>
      </c>
      <c r="F150" s="52" t="s">
        <v>101</v>
      </c>
      <c r="G150" s="49"/>
    </row>
    <row r="151" spans="1:7" x14ac:dyDescent="0.3">
      <c r="A151" s="24" t="s">
        <v>579</v>
      </c>
      <c r="B151" s="24" t="s">
        <v>21</v>
      </c>
      <c r="C151" s="24" t="s">
        <v>22</v>
      </c>
      <c r="D151" s="25">
        <v>45964</v>
      </c>
      <c r="E151" s="25">
        <v>45975</v>
      </c>
      <c r="F151" s="52" t="s">
        <v>28</v>
      </c>
      <c r="G151" s="49" t="s">
        <v>586</v>
      </c>
    </row>
    <row r="152" spans="1:7" x14ac:dyDescent="0.3">
      <c r="A152" s="24" t="s">
        <v>579</v>
      </c>
      <c r="B152" s="24" t="s">
        <v>26</v>
      </c>
      <c r="C152" s="24" t="s">
        <v>27</v>
      </c>
      <c r="D152" s="25">
        <v>45973</v>
      </c>
      <c r="E152" s="25">
        <v>45979</v>
      </c>
      <c r="F152" s="52" t="s">
        <v>31</v>
      </c>
      <c r="G152" s="49" t="s">
        <v>527</v>
      </c>
    </row>
    <row r="153" spans="1:7" x14ac:dyDescent="0.3">
      <c r="A153" s="24" t="s">
        <v>579</v>
      </c>
      <c r="B153" s="24" t="s">
        <v>145</v>
      </c>
      <c r="C153" s="24" t="s">
        <v>25</v>
      </c>
      <c r="D153" s="25">
        <v>45979</v>
      </c>
      <c r="E153" s="25">
        <v>45979</v>
      </c>
      <c r="F153" s="52" t="s">
        <v>225</v>
      </c>
      <c r="G153" s="49" t="s">
        <v>583</v>
      </c>
    </row>
    <row r="154" spans="1:7" x14ac:dyDescent="0.3">
      <c r="A154" s="24" t="s">
        <v>628</v>
      </c>
      <c r="B154" s="24" t="s">
        <v>6</v>
      </c>
      <c r="C154" s="24" t="s">
        <v>7</v>
      </c>
      <c r="D154" s="25">
        <v>45978</v>
      </c>
      <c r="E154" s="25">
        <v>46001</v>
      </c>
      <c r="F154" s="52" t="s">
        <v>8</v>
      </c>
      <c r="G154" s="49"/>
    </row>
    <row r="155" spans="1:7" x14ac:dyDescent="0.3">
      <c r="A155" s="24" t="s">
        <v>628</v>
      </c>
      <c r="B155" s="24" t="s">
        <v>11</v>
      </c>
      <c r="C155" s="24" t="s">
        <v>14</v>
      </c>
      <c r="D155" s="25">
        <v>45985</v>
      </c>
      <c r="E155" s="25">
        <v>46001</v>
      </c>
      <c r="F155" s="52" t="s">
        <v>75</v>
      </c>
      <c r="G155" s="49"/>
    </row>
    <row r="156" spans="1:7" x14ac:dyDescent="0.3">
      <c r="A156" s="24" t="s">
        <v>628</v>
      </c>
      <c r="B156" s="24" t="s">
        <v>80</v>
      </c>
      <c r="C156" s="24" t="s">
        <v>10</v>
      </c>
      <c r="D156" s="25">
        <v>45999</v>
      </c>
      <c r="E156" s="25">
        <v>46031</v>
      </c>
      <c r="F156" s="52" t="s">
        <v>101</v>
      </c>
      <c r="G156" s="49"/>
    </row>
    <row r="157" spans="1:7" x14ac:dyDescent="0.3">
      <c r="A157" s="24" t="s">
        <v>628</v>
      </c>
      <c r="B157" s="24" t="s">
        <v>21</v>
      </c>
      <c r="C157" s="24" t="s">
        <v>22</v>
      </c>
      <c r="D157" s="25">
        <v>46001</v>
      </c>
      <c r="E157" s="25">
        <v>46038</v>
      </c>
      <c r="F157" s="52" t="s">
        <v>28</v>
      </c>
      <c r="G157" s="49"/>
    </row>
    <row r="158" spans="1:7" x14ac:dyDescent="0.3">
      <c r="A158" s="24" t="s">
        <v>628</v>
      </c>
      <c r="B158" s="24" t="s">
        <v>26</v>
      </c>
      <c r="C158" s="24" t="s">
        <v>27</v>
      </c>
      <c r="D158" s="25">
        <v>46036</v>
      </c>
      <c r="E158" s="25">
        <v>46063</v>
      </c>
      <c r="F158" s="52" t="s">
        <v>31</v>
      </c>
      <c r="G158" s="49"/>
    </row>
    <row r="159" spans="1:7" x14ac:dyDescent="0.3">
      <c r="A159" s="24" t="s">
        <v>628</v>
      </c>
      <c r="B159" s="24" t="s">
        <v>145</v>
      </c>
      <c r="C159" s="24" t="s">
        <v>25</v>
      </c>
      <c r="D159" s="25">
        <v>46042</v>
      </c>
      <c r="E159" s="25">
        <v>46042</v>
      </c>
      <c r="F159" s="52" t="s">
        <v>225</v>
      </c>
      <c r="G159" s="49" t="s">
        <v>634</v>
      </c>
    </row>
    <row r="160" spans="1:7" x14ac:dyDescent="0.3">
      <c r="A160" s="24" t="s">
        <v>628</v>
      </c>
      <c r="B160" s="24" t="s">
        <v>145</v>
      </c>
      <c r="C160" s="24" t="s">
        <v>25</v>
      </c>
      <c r="D160" s="25">
        <v>46063</v>
      </c>
      <c r="E160" s="25">
        <v>46063</v>
      </c>
      <c r="F160" s="52" t="s">
        <v>225</v>
      </c>
      <c r="G160" s="49" t="s">
        <v>582</v>
      </c>
    </row>
    <row r="161" spans="1:7" x14ac:dyDescent="0.3">
      <c r="A161" s="24" t="s">
        <v>602</v>
      </c>
      <c r="B161" s="24" t="s">
        <v>6</v>
      </c>
      <c r="C161" s="24" t="s">
        <v>7</v>
      </c>
      <c r="D161" s="25">
        <v>45939</v>
      </c>
      <c r="E161" s="25">
        <v>45961</v>
      </c>
      <c r="F161" s="52" t="s">
        <v>8</v>
      </c>
      <c r="G161" s="49"/>
    </row>
    <row r="162" spans="1:7" x14ac:dyDescent="0.3">
      <c r="A162" s="24" t="s">
        <v>602</v>
      </c>
      <c r="B162" s="24" t="s">
        <v>11</v>
      </c>
      <c r="C162" s="24" t="s">
        <v>14</v>
      </c>
      <c r="D162" s="25">
        <v>45939</v>
      </c>
      <c r="E162" s="25">
        <v>45961</v>
      </c>
      <c r="F162" s="52" t="s">
        <v>75</v>
      </c>
      <c r="G162" s="49"/>
    </row>
    <row r="163" spans="1:7" x14ac:dyDescent="0.3">
      <c r="A163" s="24" t="s">
        <v>602</v>
      </c>
      <c r="B163" s="24" t="s">
        <v>80</v>
      </c>
      <c r="C163" s="24" t="s">
        <v>10</v>
      </c>
      <c r="D163" s="25">
        <v>45964</v>
      </c>
      <c r="E163" s="25">
        <v>45975</v>
      </c>
      <c r="F163" s="52" t="s">
        <v>101</v>
      </c>
      <c r="G163" s="49"/>
    </row>
    <row r="164" spans="1:7" x14ac:dyDescent="0.3">
      <c r="A164" s="24" t="s">
        <v>602</v>
      </c>
      <c r="B164" s="24" t="s">
        <v>21</v>
      </c>
      <c r="C164" s="24" t="s">
        <v>22</v>
      </c>
      <c r="D164" s="25">
        <v>45964</v>
      </c>
      <c r="E164" s="25">
        <v>45975</v>
      </c>
      <c r="F164" s="52" t="s">
        <v>28</v>
      </c>
      <c r="G164" s="49" t="s">
        <v>586</v>
      </c>
    </row>
    <row r="165" spans="1:7" x14ac:dyDescent="0.3">
      <c r="A165" s="24" t="s">
        <v>602</v>
      </c>
      <c r="B165" s="24" t="s">
        <v>26</v>
      </c>
      <c r="C165" s="24" t="s">
        <v>27</v>
      </c>
      <c r="D165" s="25">
        <v>45973</v>
      </c>
      <c r="E165" s="25">
        <v>45979</v>
      </c>
      <c r="F165" s="52" t="s">
        <v>31</v>
      </c>
      <c r="G165" s="49" t="s">
        <v>527</v>
      </c>
    </row>
    <row r="166" spans="1:7" x14ac:dyDescent="0.3">
      <c r="A166" s="24" t="s">
        <v>602</v>
      </c>
      <c r="B166" s="24" t="s">
        <v>145</v>
      </c>
      <c r="C166" s="24" t="s">
        <v>25</v>
      </c>
      <c r="D166" s="25">
        <v>45979</v>
      </c>
      <c r="E166" s="25">
        <v>45979</v>
      </c>
      <c r="F166" s="52" t="s">
        <v>225</v>
      </c>
      <c r="G166" s="49" t="s">
        <v>582</v>
      </c>
    </row>
    <row r="167" spans="1:7" x14ac:dyDescent="0.3">
      <c r="A167" s="24" t="s">
        <v>625</v>
      </c>
      <c r="B167" s="24" t="s">
        <v>6</v>
      </c>
      <c r="C167" s="24" t="s">
        <v>7</v>
      </c>
      <c r="D167" s="25">
        <v>45978</v>
      </c>
      <c r="E167" s="25">
        <v>46001</v>
      </c>
      <c r="F167" s="52" t="s">
        <v>8</v>
      </c>
      <c r="G167" s="49"/>
    </row>
    <row r="168" spans="1:7" x14ac:dyDescent="0.3">
      <c r="A168" s="24" t="s">
        <v>625</v>
      </c>
      <c r="B168" s="24" t="s">
        <v>11</v>
      </c>
      <c r="C168" s="24" t="s">
        <v>14</v>
      </c>
      <c r="D168" s="25">
        <v>45985</v>
      </c>
      <c r="E168" s="25">
        <v>46001</v>
      </c>
      <c r="F168" s="52" t="s">
        <v>75</v>
      </c>
      <c r="G168" s="49"/>
    </row>
    <row r="169" spans="1:7" x14ac:dyDescent="0.3">
      <c r="A169" s="24" t="s">
        <v>625</v>
      </c>
      <c r="B169" s="24" t="s">
        <v>80</v>
      </c>
      <c r="C169" s="24" t="s">
        <v>10</v>
      </c>
      <c r="D169" s="25">
        <v>45999</v>
      </c>
      <c r="E169" s="25">
        <v>46031</v>
      </c>
      <c r="F169" s="52" t="s">
        <v>101</v>
      </c>
      <c r="G169" s="49"/>
    </row>
    <row r="170" spans="1:7" x14ac:dyDescent="0.3">
      <c r="A170" s="24" t="s">
        <v>625</v>
      </c>
      <c r="B170" s="24" t="s">
        <v>21</v>
      </c>
      <c r="C170" s="24" t="s">
        <v>22</v>
      </c>
      <c r="D170" s="25">
        <v>46001</v>
      </c>
      <c r="E170" s="25">
        <v>46038</v>
      </c>
      <c r="F170" s="52" t="s">
        <v>28</v>
      </c>
      <c r="G170" s="49"/>
    </row>
    <row r="171" spans="1:7" x14ac:dyDescent="0.3">
      <c r="A171" s="24" t="s">
        <v>625</v>
      </c>
      <c r="B171" s="24" t="s">
        <v>26</v>
      </c>
      <c r="C171" s="24" t="s">
        <v>27</v>
      </c>
      <c r="D171" s="25">
        <v>46036</v>
      </c>
      <c r="E171" s="25">
        <v>46063</v>
      </c>
      <c r="F171" s="52" t="s">
        <v>31</v>
      </c>
      <c r="G171" s="49"/>
    </row>
    <row r="172" spans="1:7" x14ac:dyDescent="0.3">
      <c r="A172" s="24" t="s">
        <v>625</v>
      </c>
      <c r="B172" s="24" t="s">
        <v>145</v>
      </c>
      <c r="C172" s="24" t="s">
        <v>25</v>
      </c>
      <c r="D172" s="25">
        <v>46042</v>
      </c>
      <c r="E172" s="25">
        <v>46042</v>
      </c>
      <c r="F172" s="52" t="s">
        <v>225</v>
      </c>
      <c r="G172" s="49" t="s">
        <v>641</v>
      </c>
    </row>
    <row r="173" spans="1:7" x14ac:dyDescent="0.3">
      <c r="A173" s="24" t="s">
        <v>625</v>
      </c>
      <c r="B173" s="24" t="s">
        <v>145</v>
      </c>
      <c r="C173" s="24" t="s">
        <v>25</v>
      </c>
      <c r="D173" s="25">
        <v>46063</v>
      </c>
      <c r="E173" s="25">
        <v>46063</v>
      </c>
      <c r="F173" s="52" t="s">
        <v>225</v>
      </c>
      <c r="G173" s="49" t="s">
        <v>582</v>
      </c>
    </row>
    <row r="174" spans="1:7" x14ac:dyDescent="0.3">
      <c r="A174" s="24" t="s">
        <v>584</v>
      </c>
      <c r="B174" s="24" t="s">
        <v>6</v>
      </c>
      <c r="C174" s="24" t="s">
        <v>7</v>
      </c>
      <c r="D174" s="25">
        <v>45939</v>
      </c>
      <c r="E174" s="25">
        <v>45961</v>
      </c>
      <c r="F174" s="52" t="s">
        <v>8</v>
      </c>
      <c r="G174" s="49"/>
    </row>
    <row r="175" spans="1:7" x14ac:dyDescent="0.3">
      <c r="A175" s="24" t="s">
        <v>584</v>
      </c>
      <c r="B175" s="24" t="s">
        <v>11</v>
      </c>
      <c r="C175" s="24" t="s">
        <v>14</v>
      </c>
      <c r="D175" s="25">
        <v>45939</v>
      </c>
      <c r="E175" s="25">
        <v>45961</v>
      </c>
      <c r="F175" s="52" t="s">
        <v>75</v>
      </c>
      <c r="G175" s="49"/>
    </row>
    <row r="176" spans="1:7" x14ac:dyDescent="0.3">
      <c r="A176" s="24" t="s">
        <v>584</v>
      </c>
      <c r="B176" s="24" t="s">
        <v>80</v>
      </c>
      <c r="C176" s="24" t="s">
        <v>10</v>
      </c>
      <c r="D176" s="25">
        <v>45964</v>
      </c>
      <c r="E176" s="25">
        <v>45975</v>
      </c>
      <c r="F176" s="52" t="s">
        <v>101</v>
      </c>
      <c r="G176" s="49" t="s">
        <v>586</v>
      </c>
    </row>
    <row r="177" spans="1:7" x14ac:dyDescent="0.3">
      <c r="A177" s="24" t="s">
        <v>584</v>
      </c>
      <c r="B177" s="24" t="s">
        <v>21</v>
      </c>
      <c r="C177" s="24" t="s">
        <v>22</v>
      </c>
      <c r="D177" s="25">
        <v>45964</v>
      </c>
      <c r="E177" s="25">
        <v>45975</v>
      </c>
      <c r="F177" s="52" t="s">
        <v>28</v>
      </c>
      <c r="G177" s="49"/>
    </row>
    <row r="178" spans="1:7" x14ac:dyDescent="0.3">
      <c r="A178" s="24" t="s">
        <v>584</v>
      </c>
      <c r="B178" s="24" t="s">
        <v>26</v>
      </c>
      <c r="C178" s="24" t="s">
        <v>27</v>
      </c>
      <c r="D178" s="25">
        <v>45973</v>
      </c>
      <c r="E178" s="25">
        <v>45979</v>
      </c>
      <c r="F178" s="52" t="s">
        <v>31</v>
      </c>
      <c r="G178" s="49" t="s">
        <v>527</v>
      </c>
    </row>
    <row r="179" spans="1:7" x14ac:dyDescent="0.3">
      <c r="A179" s="24" t="s">
        <v>584</v>
      </c>
      <c r="B179" s="24" t="s">
        <v>145</v>
      </c>
      <c r="C179" s="24" t="s">
        <v>25</v>
      </c>
      <c r="D179" s="25">
        <v>45979</v>
      </c>
      <c r="E179" s="25">
        <v>45979</v>
      </c>
      <c r="F179" s="52" t="s">
        <v>225</v>
      </c>
      <c r="G179" s="49" t="s">
        <v>540</v>
      </c>
    </row>
    <row r="180" spans="1:7" x14ac:dyDescent="0.3">
      <c r="A180" s="24" t="s">
        <v>391</v>
      </c>
      <c r="B180" s="24" t="s">
        <v>6</v>
      </c>
      <c r="C180" s="24" t="s">
        <v>7</v>
      </c>
      <c r="D180" s="25">
        <v>45831</v>
      </c>
      <c r="E180" s="25">
        <v>45926</v>
      </c>
      <c r="F180" s="52" t="s">
        <v>8</v>
      </c>
      <c r="G180" s="49"/>
    </row>
    <row r="181" spans="1:7" x14ac:dyDescent="0.3">
      <c r="A181" s="24" t="s">
        <v>391</v>
      </c>
      <c r="B181" s="24" t="s">
        <v>11</v>
      </c>
      <c r="C181" s="24" t="s">
        <v>78</v>
      </c>
      <c r="D181" s="25">
        <v>45838</v>
      </c>
      <c r="E181" s="25">
        <v>45926</v>
      </c>
      <c r="F181" s="52" t="s">
        <v>13</v>
      </c>
      <c r="G181" s="49"/>
    </row>
    <row r="182" spans="1:7" x14ac:dyDescent="0.3">
      <c r="A182" s="24" t="s">
        <v>391</v>
      </c>
      <c r="B182" s="24" t="s">
        <v>15</v>
      </c>
      <c r="C182" s="24" t="s">
        <v>16</v>
      </c>
      <c r="D182" s="25">
        <v>45845</v>
      </c>
      <c r="E182" s="25">
        <v>45933</v>
      </c>
      <c r="F182" s="52" t="s">
        <v>17</v>
      </c>
      <c r="G182" s="49"/>
    </row>
    <row r="183" spans="1:7" x14ac:dyDescent="0.3">
      <c r="A183" s="24" t="s">
        <v>391</v>
      </c>
      <c r="B183" s="24" t="s">
        <v>19</v>
      </c>
      <c r="C183" s="24" t="s">
        <v>18</v>
      </c>
      <c r="D183" s="25">
        <v>45853</v>
      </c>
      <c r="E183" s="25">
        <v>45933</v>
      </c>
      <c r="F183" s="52" t="s">
        <v>98</v>
      </c>
      <c r="G183" s="49"/>
    </row>
    <row r="184" spans="1:7" x14ac:dyDescent="0.3">
      <c r="A184" s="24" t="s">
        <v>391</v>
      </c>
      <c r="B184" s="24" t="s">
        <v>21</v>
      </c>
      <c r="C184" s="24" t="s">
        <v>22</v>
      </c>
      <c r="D184" s="25">
        <v>45880</v>
      </c>
      <c r="E184" s="25">
        <v>45940</v>
      </c>
      <c r="F184" s="52" t="s">
        <v>28</v>
      </c>
      <c r="G184" s="49"/>
    </row>
    <row r="185" spans="1:7" x14ac:dyDescent="0.3">
      <c r="A185" s="24" t="s">
        <v>391</v>
      </c>
      <c r="B185" s="24" t="s">
        <v>26</v>
      </c>
      <c r="C185" s="24" t="s">
        <v>27</v>
      </c>
      <c r="D185" s="25">
        <v>45908</v>
      </c>
      <c r="E185" s="25">
        <v>45940</v>
      </c>
      <c r="F185" s="52" t="s">
        <v>31</v>
      </c>
      <c r="G185" s="49"/>
    </row>
    <row r="186" spans="1:7" x14ac:dyDescent="0.3">
      <c r="A186" s="24" t="s">
        <v>391</v>
      </c>
      <c r="B186" s="24" t="s">
        <v>145</v>
      </c>
      <c r="C186" s="24" t="s">
        <v>25</v>
      </c>
      <c r="D186" s="25">
        <v>45943</v>
      </c>
      <c r="E186" s="25">
        <v>45943</v>
      </c>
      <c r="F186" s="52" t="s">
        <v>225</v>
      </c>
      <c r="G186" s="49" t="s">
        <v>437</v>
      </c>
    </row>
    <row r="187" spans="1:7" x14ac:dyDescent="0.3">
      <c r="A187" s="24" t="s">
        <v>462</v>
      </c>
      <c r="B187" s="24" t="s">
        <v>6</v>
      </c>
      <c r="C187" s="24" t="s">
        <v>7</v>
      </c>
      <c r="D187" s="25">
        <v>45908</v>
      </c>
      <c r="E187" s="25">
        <v>46001</v>
      </c>
      <c r="F187" s="52" t="s">
        <v>8</v>
      </c>
      <c r="G187" s="49"/>
    </row>
    <row r="188" spans="1:7" x14ac:dyDescent="0.3">
      <c r="A188" s="24" t="s">
        <v>462</v>
      </c>
      <c r="B188" s="24" t="s">
        <v>11</v>
      </c>
      <c r="C188" s="24" t="s">
        <v>14</v>
      </c>
      <c r="D188" s="25">
        <v>45915</v>
      </c>
      <c r="E188" s="25">
        <v>46001</v>
      </c>
      <c r="F188" s="52" t="s">
        <v>75</v>
      </c>
      <c r="G188" s="49"/>
    </row>
    <row r="189" spans="1:7" x14ac:dyDescent="0.3">
      <c r="A189" s="24" t="s">
        <v>462</v>
      </c>
      <c r="B189" s="24" t="s">
        <v>80</v>
      </c>
      <c r="C189" s="24" t="s">
        <v>10</v>
      </c>
      <c r="D189" s="25">
        <v>45978</v>
      </c>
      <c r="E189" s="25">
        <v>46022</v>
      </c>
      <c r="F189" s="52" t="s">
        <v>101</v>
      </c>
      <c r="G189" s="49" t="s">
        <v>551</v>
      </c>
    </row>
    <row r="190" spans="1:7" x14ac:dyDescent="0.3">
      <c r="A190" s="24" t="s">
        <v>462</v>
      </c>
      <c r="B190" s="24" t="s">
        <v>21</v>
      </c>
      <c r="C190" s="24" t="s">
        <v>22</v>
      </c>
      <c r="D190" s="25">
        <v>46001</v>
      </c>
      <c r="E190" s="25">
        <v>46038</v>
      </c>
      <c r="F190" s="52" t="s">
        <v>28</v>
      </c>
      <c r="G190" s="49" t="s">
        <v>619</v>
      </c>
    </row>
    <row r="191" spans="1:7" x14ac:dyDescent="0.3">
      <c r="A191" s="24" t="s">
        <v>462</v>
      </c>
      <c r="B191" s="24" t="s">
        <v>21</v>
      </c>
      <c r="C191" s="24" t="s">
        <v>29</v>
      </c>
      <c r="D191" s="25">
        <v>46041</v>
      </c>
      <c r="E191" s="25">
        <v>46059</v>
      </c>
      <c r="F191" s="52" t="s">
        <v>111</v>
      </c>
      <c r="G191" s="49" t="s">
        <v>556</v>
      </c>
    </row>
    <row r="192" spans="1:7" x14ac:dyDescent="0.3">
      <c r="A192" s="24" t="s">
        <v>462</v>
      </c>
      <c r="B192" s="24" t="s">
        <v>26</v>
      </c>
      <c r="C192" s="24" t="s">
        <v>27</v>
      </c>
      <c r="D192" s="25">
        <v>46034</v>
      </c>
      <c r="E192" s="25">
        <v>46042</v>
      </c>
      <c r="F192" s="52" t="s">
        <v>31</v>
      </c>
      <c r="G192" s="49" t="s">
        <v>473</v>
      </c>
    </row>
    <row r="193" spans="1:20" x14ac:dyDescent="0.3">
      <c r="A193" s="2" t="s">
        <v>462</v>
      </c>
      <c r="B193" s="2" t="s">
        <v>26</v>
      </c>
      <c r="C193" s="2" t="s">
        <v>27</v>
      </c>
      <c r="D193" s="4">
        <v>46062</v>
      </c>
      <c r="E193" s="4">
        <v>46070</v>
      </c>
      <c r="F193" s="38" t="s">
        <v>31</v>
      </c>
      <c r="G193" s="36" t="s">
        <v>472</v>
      </c>
    </row>
    <row r="194" spans="1:20" x14ac:dyDescent="0.3">
      <c r="A194" s="2" t="s">
        <v>462</v>
      </c>
      <c r="B194" s="2" t="s">
        <v>145</v>
      </c>
      <c r="C194" s="2" t="s">
        <v>25</v>
      </c>
      <c r="D194" s="4">
        <v>46042</v>
      </c>
      <c r="E194" s="4">
        <v>46042</v>
      </c>
      <c r="F194" s="38" t="s">
        <v>225</v>
      </c>
      <c r="G194" s="36" t="s">
        <v>643</v>
      </c>
    </row>
    <row r="195" spans="1:20" x14ac:dyDescent="0.3">
      <c r="A195" s="2" t="s">
        <v>462</v>
      </c>
      <c r="B195" s="2" t="s">
        <v>145</v>
      </c>
      <c r="C195" s="2" t="s">
        <v>25</v>
      </c>
      <c r="D195" s="4">
        <v>46063</v>
      </c>
      <c r="E195" s="4">
        <v>46063</v>
      </c>
      <c r="F195" s="38" t="s">
        <v>225</v>
      </c>
      <c r="G195" s="36" t="s">
        <v>642</v>
      </c>
    </row>
    <row r="196" spans="1:20" x14ac:dyDescent="0.3">
      <c r="A196" s="2" t="s">
        <v>462</v>
      </c>
      <c r="B196" s="2" t="s">
        <v>145</v>
      </c>
      <c r="C196" s="2" t="s">
        <v>25</v>
      </c>
      <c r="D196" s="4">
        <v>46070</v>
      </c>
      <c r="E196" s="4">
        <v>46070</v>
      </c>
      <c r="F196" s="38" t="s">
        <v>225</v>
      </c>
      <c r="G196" s="36" t="s">
        <v>466</v>
      </c>
    </row>
    <row r="197" spans="1:20" x14ac:dyDescent="0.3">
      <c r="A197" s="24" t="s">
        <v>604</v>
      </c>
      <c r="B197" s="24" t="s">
        <v>11</v>
      </c>
      <c r="C197" s="24" t="s">
        <v>14</v>
      </c>
      <c r="D197" s="25">
        <v>45978</v>
      </c>
      <c r="E197" s="25">
        <v>46001</v>
      </c>
      <c r="F197" s="52" t="s">
        <v>75</v>
      </c>
      <c r="G197" s="49"/>
    </row>
    <row r="198" spans="1:20" x14ac:dyDescent="0.3">
      <c r="A198" s="24" t="s">
        <v>604</v>
      </c>
      <c r="B198" s="24" t="s">
        <v>80</v>
      </c>
      <c r="C198" s="24" t="s">
        <v>10</v>
      </c>
      <c r="D198" s="25">
        <v>45985</v>
      </c>
      <c r="E198" s="25">
        <v>46038</v>
      </c>
      <c r="F198" s="52" t="s">
        <v>101</v>
      </c>
      <c r="G198" s="49"/>
    </row>
    <row r="199" spans="1:20" x14ac:dyDescent="0.3">
      <c r="A199" s="24" t="s">
        <v>604</v>
      </c>
      <c r="B199" s="24" t="s">
        <v>21</v>
      </c>
      <c r="C199" s="24" t="s">
        <v>22</v>
      </c>
      <c r="D199" s="25">
        <v>45985</v>
      </c>
      <c r="E199" s="25">
        <v>46038</v>
      </c>
      <c r="F199" s="52" t="s">
        <v>28</v>
      </c>
      <c r="G199" s="49"/>
    </row>
    <row r="200" spans="1:20" x14ac:dyDescent="0.3">
      <c r="A200" s="24" t="s">
        <v>604</v>
      </c>
      <c r="B200" s="24" t="s">
        <v>26</v>
      </c>
      <c r="C200" s="24" t="s">
        <v>27</v>
      </c>
      <c r="D200" s="25">
        <v>46036</v>
      </c>
      <c r="E200" s="25">
        <v>46042</v>
      </c>
      <c r="F200" s="52" t="s">
        <v>31</v>
      </c>
      <c r="G200" s="49"/>
    </row>
    <row r="201" spans="1:20" x14ac:dyDescent="0.3">
      <c r="A201" s="24" t="s">
        <v>604</v>
      </c>
      <c r="B201" s="24" t="s">
        <v>145</v>
      </c>
      <c r="C201" s="24" t="s">
        <v>25</v>
      </c>
      <c r="D201" s="25">
        <v>46042</v>
      </c>
      <c r="E201" s="25">
        <v>46042</v>
      </c>
      <c r="F201" s="52" t="s">
        <v>225</v>
      </c>
      <c r="G201" s="49" t="s">
        <v>631</v>
      </c>
    </row>
    <row r="202" spans="1:20" x14ac:dyDescent="0.3">
      <c r="A202" s="24" t="s">
        <v>574</v>
      </c>
      <c r="B202" s="24" t="s">
        <v>6</v>
      </c>
      <c r="C202" s="24" t="s">
        <v>7</v>
      </c>
      <c r="D202" s="25">
        <v>45943</v>
      </c>
      <c r="E202" s="25">
        <v>45954</v>
      </c>
      <c r="F202" s="52" t="s">
        <v>8</v>
      </c>
      <c r="G202" s="49"/>
    </row>
    <row r="203" spans="1:20" x14ac:dyDescent="0.3">
      <c r="A203" s="24" t="s">
        <v>574</v>
      </c>
      <c r="B203" s="24" t="s">
        <v>11</v>
      </c>
      <c r="C203" s="24" t="s">
        <v>14</v>
      </c>
      <c r="D203" s="25">
        <v>45943</v>
      </c>
      <c r="E203" s="25">
        <v>45954</v>
      </c>
      <c r="F203" s="52" t="s">
        <v>75</v>
      </c>
      <c r="G203" s="49"/>
    </row>
    <row r="204" spans="1:20" x14ac:dyDescent="0.3">
      <c r="A204" s="24" t="s">
        <v>574</v>
      </c>
      <c r="B204" s="24" t="s">
        <v>80</v>
      </c>
      <c r="C204" s="24" t="s">
        <v>10</v>
      </c>
      <c r="D204" s="25">
        <v>45957</v>
      </c>
      <c r="E204" s="25">
        <v>45961</v>
      </c>
      <c r="F204" s="52" t="s">
        <v>101</v>
      </c>
      <c r="G204" s="49" t="s">
        <v>528</v>
      </c>
    </row>
    <row r="205" spans="1:20" x14ac:dyDescent="0.3">
      <c r="A205" s="24" t="s">
        <v>574</v>
      </c>
      <c r="B205" s="24" t="s">
        <v>21</v>
      </c>
      <c r="C205" s="24" t="s">
        <v>22</v>
      </c>
      <c r="D205" s="25">
        <v>45957</v>
      </c>
      <c r="E205" s="25">
        <v>45975</v>
      </c>
      <c r="F205" s="52" t="s">
        <v>28</v>
      </c>
      <c r="G205" s="49"/>
    </row>
    <row r="206" spans="1:20" x14ac:dyDescent="0.3">
      <c r="A206" s="24" t="s">
        <v>574</v>
      </c>
      <c r="B206" s="24" t="s">
        <v>26</v>
      </c>
      <c r="C206" s="24" t="s">
        <v>27</v>
      </c>
      <c r="D206" s="25">
        <v>45973</v>
      </c>
      <c r="E206" s="25">
        <v>45979</v>
      </c>
      <c r="F206" s="52" t="s">
        <v>31</v>
      </c>
      <c r="G206" s="49" t="s">
        <v>479</v>
      </c>
    </row>
    <row r="207" spans="1:20" x14ac:dyDescent="0.3">
      <c r="A207" s="24" t="s">
        <v>574</v>
      </c>
      <c r="B207" s="24" t="s">
        <v>145</v>
      </c>
      <c r="C207" s="24" t="s">
        <v>25</v>
      </c>
      <c r="D207" s="25">
        <v>45979</v>
      </c>
      <c r="E207" s="25">
        <v>45979</v>
      </c>
      <c r="F207" s="52" t="s">
        <v>225</v>
      </c>
      <c r="G207" s="49" t="s">
        <v>423</v>
      </c>
    </row>
    <row r="208" spans="1:20" x14ac:dyDescent="0.3">
      <c r="A208" s="178" t="s">
        <v>258</v>
      </c>
      <c r="B208" s="2" t="s">
        <v>6</v>
      </c>
      <c r="C208" s="2" t="s">
        <v>7</v>
      </c>
      <c r="D208" s="4">
        <v>46055</v>
      </c>
      <c r="E208" s="147">
        <v>46311</v>
      </c>
      <c r="F208" s="38" t="s">
        <v>8</v>
      </c>
      <c r="G208" s="36"/>
      <c r="N208" s="27"/>
      <c r="R208" s="6"/>
      <c r="S208" s="6"/>
      <c r="T208" s="1"/>
    </row>
    <row r="209" spans="1:20" x14ac:dyDescent="0.3">
      <c r="A209" s="178" t="s">
        <v>258</v>
      </c>
      <c r="B209" s="2" t="s">
        <v>11</v>
      </c>
      <c r="C209" s="2" t="s">
        <v>78</v>
      </c>
      <c r="D209" s="82">
        <v>46096</v>
      </c>
      <c r="E209" s="82">
        <v>46311</v>
      </c>
      <c r="F209" s="38" t="s">
        <v>13</v>
      </c>
      <c r="G209" s="36"/>
      <c r="N209" s="27"/>
      <c r="R209" s="6"/>
      <c r="S209" s="6"/>
      <c r="T209" s="1"/>
    </row>
    <row r="210" spans="1:20" x14ac:dyDescent="0.3">
      <c r="A210" s="178" t="s">
        <v>258</v>
      </c>
      <c r="B210" s="2" t="s">
        <v>15</v>
      </c>
      <c r="C210" s="2" t="s">
        <v>224</v>
      </c>
      <c r="D210" s="147">
        <v>46188</v>
      </c>
      <c r="E210" s="147">
        <v>46311</v>
      </c>
      <c r="F210" s="38" t="s">
        <v>92</v>
      </c>
      <c r="G210" s="36"/>
      <c r="N210" s="27"/>
      <c r="R210" s="6"/>
      <c r="S210" s="6"/>
      <c r="T210" s="1"/>
    </row>
    <row r="211" spans="1:20" x14ac:dyDescent="0.3">
      <c r="A211" s="178" t="s">
        <v>258</v>
      </c>
      <c r="B211" s="2" t="s">
        <v>19</v>
      </c>
      <c r="C211" s="2" t="s">
        <v>18</v>
      </c>
      <c r="D211" s="157">
        <v>46188</v>
      </c>
      <c r="E211" s="157">
        <v>46311</v>
      </c>
      <c r="F211" s="38" t="s">
        <v>98</v>
      </c>
      <c r="G211" s="36"/>
      <c r="N211" s="27"/>
      <c r="R211" s="6"/>
      <c r="S211" s="6"/>
      <c r="T211" s="1"/>
    </row>
    <row r="212" spans="1:20" x14ac:dyDescent="0.3">
      <c r="A212" s="178" t="s">
        <v>258</v>
      </c>
      <c r="B212" s="2" t="s">
        <v>89</v>
      </c>
      <c r="C212" s="2" t="s">
        <v>22</v>
      </c>
      <c r="D212" s="4">
        <v>46204</v>
      </c>
      <c r="E212" s="147">
        <v>46227</v>
      </c>
      <c r="F212" s="38" t="s">
        <v>28</v>
      </c>
      <c r="G212" s="180" t="s">
        <v>657</v>
      </c>
      <c r="N212" s="27"/>
      <c r="R212" s="6"/>
      <c r="S212" s="6"/>
      <c r="T212" s="1"/>
    </row>
    <row r="213" spans="1:20" x14ac:dyDescent="0.3">
      <c r="A213" s="178" t="s">
        <v>258</v>
      </c>
      <c r="B213" s="2" t="s">
        <v>21</v>
      </c>
      <c r="C213" s="2" t="s">
        <v>22</v>
      </c>
      <c r="D213" s="4">
        <v>46251</v>
      </c>
      <c r="E213" s="147">
        <v>46312</v>
      </c>
      <c r="F213" s="38" t="s">
        <v>28</v>
      </c>
      <c r="G213" s="36"/>
      <c r="N213" s="27"/>
      <c r="R213" s="6"/>
      <c r="S213" s="6"/>
      <c r="T213" s="1"/>
    </row>
    <row r="214" spans="1:20" x14ac:dyDescent="0.3">
      <c r="A214" s="178" t="s">
        <v>258</v>
      </c>
      <c r="B214" s="2" t="s">
        <v>21</v>
      </c>
      <c r="C214" s="2" t="s">
        <v>29</v>
      </c>
      <c r="D214" s="157">
        <v>46266</v>
      </c>
      <c r="E214" s="157">
        <v>46312</v>
      </c>
      <c r="F214" s="38" t="s">
        <v>111</v>
      </c>
      <c r="G214" s="179" t="s">
        <v>666</v>
      </c>
      <c r="N214" s="27"/>
      <c r="R214" s="6"/>
      <c r="S214" s="6"/>
      <c r="T214" s="1"/>
    </row>
    <row r="215" spans="1:20" x14ac:dyDescent="0.3">
      <c r="A215" s="178" t="s">
        <v>258</v>
      </c>
      <c r="B215" s="2" t="s">
        <v>26</v>
      </c>
      <c r="C215" s="2" t="s">
        <v>27</v>
      </c>
      <c r="D215" s="4">
        <v>46286</v>
      </c>
      <c r="E215" s="4">
        <v>46312</v>
      </c>
      <c r="F215" s="38" t="s">
        <v>31</v>
      </c>
      <c r="G215" s="36" t="s">
        <v>640</v>
      </c>
      <c r="N215" s="27"/>
      <c r="R215" s="6"/>
      <c r="S215" s="6"/>
      <c r="T215" s="1"/>
    </row>
    <row r="216" spans="1:20" x14ac:dyDescent="0.3">
      <c r="A216" s="178" t="s">
        <v>258</v>
      </c>
      <c r="B216" s="2" t="s">
        <v>144</v>
      </c>
      <c r="C216" s="2" t="s">
        <v>25</v>
      </c>
      <c r="D216" s="157">
        <v>46313</v>
      </c>
      <c r="E216" s="157">
        <v>46314</v>
      </c>
      <c r="F216" s="38" t="s">
        <v>225</v>
      </c>
      <c r="G216" s="36"/>
      <c r="N216" s="27"/>
      <c r="R216" s="6"/>
      <c r="S216" s="6"/>
      <c r="T216" s="1"/>
    </row>
    <row r="217" spans="1:20" x14ac:dyDescent="0.3">
      <c r="A217" s="178" t="s">
        <v>258</v>
      </c>
      <c r="B217" s="2" t="s">
        <v>152</v>
      </c>
      <c r="C217" s="2" t="s">
        <v>25</v>
      </c>
      <c r="D217" s="147">
        <v>46338</v>
      </c>
      <c r="E217" s="147">
        <v>46338</v>
      </c>
      <c r="F217" s="38" t="s">
        <v>225</v>
      </c>
      <c r="G217" s="36"/>
      <c r="N217" s="27"/>
      <c r="R217" s="6"/>
      <c r="S217" s="6"/>
      <c r="T217" s="1"/>
    </row>
    <row r="218" spans="1:20" x14ac:dyDescent="0.3">
      <c r="A218" s="24" t="s">
        <v>524</v>
      </c>
      <c r="B218" s="24" t="s">
        <v>11</v>
      </c>
      <c r="C218" s="24" t="s">
        <v>14</v>
      </c>
      <c r="D218" s="25">
        <v>45964</v>
      </c>
      <c r="E218" s="25">
        <v>45982</v>
      </c>
      <c r="F218" s="52" t="s">
        <v>75</v>
      </c>
      <c r="G218" s="49"/>
      <c r="N218" s="27"/>
      <c r="R218" s="6"/>
      <c r="S218" s="6"/>
      <c r="T218" s="1"/>
    </row>
    <row r="219" spans="1:20" x14ac:dyDescent="0.3">
      <c r="A219" s="24" t="s">
        <v>524</v>
      </c>
      <c r="B219" s="24" t="s">
        <v>80</v>
      </c>
      <c r="C219" s="24" t="s">
        <v>10</v>
      </c>
      <c r="D219" s="25">
        <v>45985</v>
      </c>
      <c r="E219" s="25">
        <v>45989</v>
      </c>
      <c r="F219" s="52" t="s">
        <v>101</v>
      </c>
      <c r="G219" s="49" t="s">
        <v>528</v>
      </c>
    </row>
    <row r="220" spans="1:20" x14ac:dyDescent="0.3">
      <c r="A220" s="24" t="s">
        <v>524</v>
      </c>
      <c r="B220" s="24" t="s">
        <v>21</v>
      </c>
      <c r="C220" s="24" t="s">
        <v>22</v>
      </c>
      <c r="D220" s="25">
        <v>45985</v>
      </c>
      <c r="E220" s="25">
        <v>45996</v>
      </c>
      <c r="F220" s="52" t="s">
        <v>28</v>
      </c>
      <c r="G220" s="49" t="s">
        <v>528</v>
      </c>
    </row>
    <row r="221" spans="1:20" x14ac:dyDescent="0.3">
      <c r="A221" s="24" t="s">
        <v>524</v>
      </c>
      <c r="B221" s="24" t="s">
        <v>26</v>
      </c>
      <c r="C221" s="24" t="s">
        <v>27</v>
      </c>
      <c r="D221" s="25">
        <v>45994</v>
      </c>
      <c r="E221" s="25">
        <v>46000</v>
      </c>
      <c r="F221" s="52" t="s">
        <v>31</v>
      </c>
      <c r="G221" s="49" t="s">
        <v>527</v>
      </c>
    </row>
    <row r="222" spans="1:20" x14ac:dyDescent="0.3">
      <c r="A222" s="24" t="s">
        <v>524</v>
      </c>
      <c r="B222" s="24" t="s">
        <v>145</v>
      </c>
      <c r="C222" s="24" t="s">
        <v>25</v>
      </c>
      <c r="D222" s="25">
        <v>46000</v>
      </c>
      <c r="E222" s="25">
        <v>46000</v>
      </c>
      <c r="F222" s="52" t="s">
        <v>225</v>
      </c>
      <c r="G222" s="49" t="s">
        <v>526</v>
      </c>
    </row>
    <row r="223" spans="1:20" x14ac:dyDescent="0.3">
      <c r="A223" s="24" t="s">
        <v>477</v>
      </c>
      <c r="B223" s="24" t="s">
        <v>6</v>
      </c>
      <c r="C223" s="24" t="s">
        <v>7</v>
      </c>
      <c r="D223" s="25">
        <v>45943</v>
      </c>
      <c r="E223" s="25">
        <v>45961</v>
      </c>
      <c r="F223" s="52" t="s">
        <v>8</v>
      </c>
      <c r="G223" s="49"/>
    </row>
    <row r="224" spans="1:20" x14ac:dyDescent="0.3">
      <c r="A224" s="24" t="s">
        <v>477</v>
      </c>
      <c r="B224" s="24" t="s">
        <v>11</v>
      </c>
      <c r="C224" s="24" t="s">
        <v>14</v>
      </c>
      <c r="D224" s="25">
        <v>45943</v>
      </c>
      <c r="E224" s="25">
        <v>45961</v>
      </c>
      <c r="F224" s="52" t="s">
        <v>75</v>
      </c>
      <c r="G224" s="49"/>
    </row>
    <row r="225" spans="1:7" x14ac:dyDescent="0.3">
      <c r="A225" s="24" t="s">
        <v>477</v>
      </c>
      <c r="B225" s="24" t="s">
        <v>80</v>
      </c>
      <c r="C225" s="24" t="s">
        <v>10</v>
      </c>
      <c r="D225" s="25">
        <v>45957</v>
      </c>
      <c r="E225" s="25">
        <v>45968</v>
      </c>
      <c r="F225" s="52" t="s">
        <v>101</v>
      </c>
      <c r="G225" s="49" t="s">
        <v>480</v>
      </c>
    </row>
    <row r="226" spans="1:7" x14ac:dyDescent="0.3">
      <c r="A226" s="24" t="s">
        <v>477</v>
      </c>
      <c r="B226" s="24" t="s">
        <v>21</v>
      </c>
      <c r="C226" s="24" t="s">
        <v>22</v>
      </c>
      <c r="D226" s="25">
        <v>45964</v>
      </c>
      <c r="E226" s="25">
        <v>45975</v>
      </c>
      <c r="F226" s="52" t="s">
        <v>28</v>
      </c>
      <c r="G226" s="49" t="s">
        <v>481</v>
      </c>
    </row>
    <row r="227" spans="1:7" x14ac:dyDescent="0.3">
      <c r="A227" s="24" t="s">
        <v>477</v>
      </c>
      <c r="B227" s="24" t="s">
        <v>26</v>
      </c>
      <c r="C227" s="24" t="s">
        <v>27</v>
      </c>
      <c r="D227" s="25">
        <v>46001</v>
      </c>
      <c r="E227" s="25">
        <v>46007</v>
      </c>
      <c r="F227" s="52" t="s">
        <v>31</v>
      </c>
      <c r="G227" s="49" t="s">
        <v>479</v>
      </c>
    </row>
    <row r="228" spans="1:7" x14ac:dyDescent="0.3">
      <c r="A228" s="24" t="s">
        <v>477</v>
      </c>
      <c r="B228" s="24" t="s">
        <v>145</v>
      </c>
      <c r="C228" s="24" t="s">
        <v>25</v>
      </c>
      <c r="D228" s="25">
        <v>46007</v>
      </c>
      <c r="E228" s="25">
        <v>46007</v>
      </c>
      <c r="F228" s="52" t="s">
        <v>225</v>
      </c>
      <c r="G228" s="49" t="s">
        <v>637</v>
      </c>
    </row>
  </sheetData>
  <autoFilter ref="A1:E199" xr:uid="{00000000-0009-0000-0000-000001000000}"/>
  <sortState xmlns:xlrd2="http://schemas.microsoft.com/office/spreadsheetml/2017/richdata2" ref="A2:G228">
    <sortCondition ref="A1"/>
    <sortCondition ref="F1"/>
    <sortCondition ref="D1"/>
  </sortState>
  <phoneticPr fontId="18" type="noConversion"/>
  <dataValidations count="3">
    <dataValidation type="list" allowBlank="1" showInputMessage="1" showErrorMessage="1" sqref="Q208:Q218 C1:C1048576 J1:J1048576" xr:uid="{00000000-0002-0000-0100-000000000000}">
      <formula1>Env</formula1>
    </dataValidation>
    <dataValidation type="list" allowBlank="1" showInputMessage="1" showErrorMessage="1" sqref="H208:H218 A1:A1048576" xr:uid="{00000000-0002-0000-0100-000001000000}">
      <formula1>Projet</formula1>
    </dataValidation>
    <dataValidation type="list" allowBlank="1" showInputMessage="1" showErrorMessage="1" sqref="I208:I218 B1:B1048576" xr:uid="{00000000-0002-0000-0100-000002000000}">
      <formula1>Phase</formula1>
    </dataValidation>
  </dataValidation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30" r:id="rId4" name="CommandButton1">
          <controlPr defaultSize="0" autoFill="0" autoLine="0" autoPict="0" altText="Mise à jour du planning à partir des informations de l'onglet Détail" r:id="rId5">
            <anchor moveWithCells="1">
              <from>
                <xdr:col>13</xdr:col>
                <xdr:colOff>182880</xdr:colOff>
                <xdr:row>0</xdr:row>
                <xdr:rowOff>30480</xdr:rowOff>
              </from>
              <to>
                <xdr:col>15</xdr:col>
                <xdr:colOff>60960</xdr:colOff>
                <xdr:row>0</xdr:row>
                <xdr:rowOff>381000</xdr:rowOff>
              </to>
            </anchor>
          </controlPr>
        </control>
      </mc:Choice>
      <mc:Fallback>
        <control shapeId="1030" r:id="rId4" name="CommandButton1"/>
      </mc:Fallback>
    </mc:AlternateContent>
  </controls>
  <extLst>
    <ext xmlns:x14="http://schemas.microsoft.com/office/spreadsheetml/2009/9/main" uri="{CCE6A557-97BC-4b89-ADB6-D9C93CAAB3DF}">
      <x14:dataValidations xmlns:xm="http://schemas.microsoft.com/office/excel/2006/main" count="1">
        <x14:dataValidation type="date" allowBlank="1" showInputMessage="1" showErrorMessage="1" errorTitle="Date incorrecte" error="La date doit être comprise entre la date de début et la de fin de l'onglet Param." xr:uid="{00000000-0002-0000-0100-000003000000}">
          <x14:formula1>
            <xm:f>Param!$B$1</xm:f>
          </x14:formula1>
          <x14:formula2>
            <xm:f>Param!$B$2</xm:f>
          </x14:formula2>
          <xm:sqref>R208:S218 D1:E1048576 K1:L1048576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filterMode="1">
    <tabColor theme="9"/>
  </sheetPr>
  <dimension ref="A1:LN171"/>
  <sheetViews>
    <sheetView tabSelected="1" zoomScale="90" zoomScaleNormal="90" workbookViewId="0">
      <pane xSplit="3" ySplit="3" topLeftCell="D4" activePane="bottomRight" state="frozen"/>
      <selection pane="topRight" activeCell="D1" sqref="D1"/>
      <selection pane="bottomLeft" activeCell="A4" sqref="A4"/>
      <selection pane="bottomRight" activeCell="HV179" sqref="HV179"/>
    </sheetView>
  </sheetViews>
  <sheetFormatPr baseColWidth="10" defaultColWidth="2.5546875" defaultRowHeight="14.4" x14ac:dyDescent="0.3"/>
  <cols>
    <col min="1" max="1" width="45" customWidth="1"/>
    <col min="2" max="2" width="32.77734375" bestFit="1" customWidth="1"/>
    <col min="3" max="3" width="10.5546875" customWidth="1"/>
    <col min="4" max="4" width="1.5546875" customWidth="1"/>
    <col min="5" max="218" width="2.5546875" customWidth="1"/>
  </cols>
  <sheetData>
    <row r="1" spans="1:326" s="69" customFormat="1" ht="30.6" customHeight="1" thickBot="1" x14ac:dyDescent="0.55000000000000004">
      <c r="A1" s="197" t="s">
        <v>622</v>
      </c>
      <c r="B1" s="197"/>
      <c r="C1" s="197"/>
      <c r="E1" s="194" t="s">
        <v>347</v>
      </c>
      <c r="F1" s="195"/>
      <c r="G1" s="195"/>
      <c r="H1" s="195"/>
      <c r="I1" s="195"/>
      <c r="J1" s="195"/>
      <c r="K1" s="195"/>
      <c r="L1" s="195"/>
      <c r="M1" s="195"/>
      <c r="N1" s="195"/>
      <c r="O1" s="195"/>
      <c r="P1" s="195"/>
      <c r="Q1" s="195"/>
      <c r="R1" s="195"/>
      <c r="S1" s="195"/>
      <c r="T1" s="195"/>
      <c r="U1" s="195"/>
      <c r="V1" s="195"/>
      <c r="W1" s="196"/>
      <c r="X1" s="194" t="s">
        <v>356</v>
      </c>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6"/>
      <c r="AZ1" s="194" t="s">
        <v>388</v>
      </c>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6"/>
      <c r="CE1" s="194" t="s">
        <v>457</v>
      </c>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6"/>
      <c r="DI1" s="194" t="s">
        <v>458</v>
      </c>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6"/>
      <c r="EN1" s="194" t="s">
        <v>459</v>
      </c>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6"/>
      <c r="FR1" s="194" t="s">
        <v>553</v>
      </c>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6"/>
      <c r="GW1" s="194" t="s">
        <v>621</v>
      </c>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6"/>
      <c r="IB1" s="194" t="s">
        <v>635</v>
      </c>
      <c r="IC1" s="195"/>
      <c r="ID1" s="195"/>
      <c r="IE1" s="195"/>
      <c r="IF1" s="195"/>
      <c r="IG1" s="195"/>
      <c r="IH1" s="195"/>
      <c r="II1" s="195"/>
      <c r="IJ1" s="195"/>
      <c r="IK1" s="195"/>
      <c r="IL1" s="195"/>
      <c r="IM1" s="195"/>
      <c r="IN1" s="195"/>
      <c r="IO1" s="195"/>
      <c r="IP1" s="195"/>
      <c r="IQ1" s="195"/>
      <c r="IR1" s="195"/>
      <c r="IS1" s="195"/>
      <c r="IT1" s="195"/>
      <c r="IU1" s="195"/>
      <c r="IV1" s="195"/>
      <c r="IW1" s="195"/>
      <c r="IX1" s="195"/>
      <c r="IY1" s="195"/>
      <c r="IZ1" s="195"/>
      <c r="JA1" s="195"/>
      <c r="JB1" s="195"/>
      <c r="JC1" s="195"/>
      <c r="JD1" s="195"/>
      <c r="JE1" s="196"/>
      <c r="JF1" s="194" t="s">
        <v>638</v>
      </c>
      <c r="JG1" s="195"/>
      <c r="JH1" s="195"/>
      <c r="JI1" s="195"/>
      <c r="JJ1" s="195"/>
      <c r="JK1" s="195"/>
      <c r="JL1" s="195"/>
      <c r="JM1" s="195"/>
      <c r="JN1" s="195"/>
      <c r="JO1" s="195"/>
      <c r="JP1" s="195"/>
      <c r="JQ1" s="195"/>
      <c r="JR1" s="195"/>
      <c r="JS1" s="195"/>
      <c r="JT1" s="195"/>
      <c r="JU1" s="195"/>
      <c r="JV1" s="195"/>
      <c r="JW1" s="195"/>
      <c r="JX1" s="195"/>
      <c r="JY1" s="195"/>
      <c r="JZ1" s="195"/>
      <c r="KA1" s="195"/>
      <c r="KB1" s="195"/>
      <c r="KC1" s="195"/>
      <c r="KD1" s="195"/>
      <c r="KE1" s="195"/>
      <c r="KF1" s="195"/>
      <c r="KG1" s="195"/>
      <c r="KH1" s="195"/>
      <c r="KI1" s="195"/>
      <c r="KJ1" s="196"/>
      <c r="KK1" s="194" t="s">
        <v>639</v>
      </c>
      <c r="KL1" s="195"/>
      <c r="KM1" s="195"/>
      <c r="KN1" s="195"/>
      <c r="KO1" s="195"/>
      <c r="KP1" s="195"/>
      <c r="KQ1" s="195"/>
      <c r="KR1" s="195"/>
      <c r="KS1" s="195"/>
      <c r="KT1" s="195"/>
      <c r="KU1" s="195"/>
      <c r="KV1" s="195"/>
      <c r="KW1" s="195"/>
      <c r="KX1" s="195"/>
      <c r="KY1" s="195"/>
      <c r="KZ1" s="195"/>
      <c r="LA1" s="195"/>
      <c r="LB1" s="195"/>
      <c r="LC1" s="195"/>
      <c r="LD1" s="195"/>
      <c r="LE1" s="195"/>
      <c r="LF1" s="195"/>
      <c r="LG1" s="195"/>
      <c r="LH1" s="195"/>
      <c r="LI1" s="195"/>
      <c r="LJ1" s="195"/>
      <c r="LK1" s="195"/>
      <c r="LL1" s="195"/>
      <c r="LM1" s="195"/>
      <c r="LN1" s="196"/>
    </row>
    <row r="2" spans="1:326" s="47" customFormat="1" ht="25.35" customHeight="1" thickBot="1" x14ac:dyDescent="0.5">
      <c r="A2" s="198"/>
      <c r="B2" s="198"/>
      <c r="C2" s="198"/>
      <c r="E2" s="28"/>
      <c r="F2" s="188" t="s">
        <v>113</v>
      </c>
      <c r="G2" s="189"/>
      <c r="H2" s="190"/>
      <c r="I2" s="28"/>
      <c r="J2" s="28"/>
      <c r="K2" s="191" t="s">
        <v>114</v>
      </c>
      <c r="L2" s="192"/>
      <c r="M2" s="192"/>
      <c r="N2" s="192"/>
      <c r="O2" s="192"/>
      <c r="P2" s="192"/>
      <c r="Q2" s="192"/>
      <c r="R2" s="192"/>
      <c r="S2" s="192"/>
      <c r="T2" s="192"/>
      <c r="U2" s="192"/>
      <c r="V2" s="192"/>
      <c r="W2" s="192"/>
      <c r="X2" s="192"/>
      <c r="Y2" s="192"/>
      <c r="Z2" s="192"/>
      <c r="AA2" s="192"/>
      <c r="AB2" s="192"/>
      <c r="AC2" s="192"/>
      <c r="AD2" s="192"/>
      <c r="AE2" s="193"/>
      <c r="AF2" s="191" t="s">
        <v>115</v>
      </c>
      <c r="AG2" s="192"/>
      <c r="AH2" s="192"/>
      <c r="AI2" s="192"/>
      <c r="AJ2" s="192"/>
      <c r="AK2" s="192"/>
      <c r="AL2" s="192"/>
      <c r="AM2" s="192"/>
      <c r="AN2" s="192"/>
      <c r="AO2" s="192"/>
      <c r="AP2" s="192"/>
      <c r="AQ2" s="192"/>
      <c r="AR2" s="192"/>
      <c r="AS2" s="192"/>
      <c r="AT2" s="192"/>
      <c r="AU2" s="192"/>
      <c r="AV2" s="192"/>
      <c r="AW2" s="192"/>
      <c r="AX2" s="192"/>
      <c r="AY2" s="192"/>
      <c r="AZ2" s="193"/>
      <c r="BA2" s="191" t="s">
        <v>116</v>
      </c>
      <c r="BB2" s="192"/>
      <c r="BC2" s="192"/>
      <c r="BD2" s="192"/>
      <c r="BE2" s="192"/>
      <c r="BF2" s="192"/>
      <c r="BG2" s="192"/>
      <c r="BH2" s="192"/>
      <c r="BI2" s="192"/>
      <c r="BJ2" s="192"/>
      <c r="BK2" s="192"/>
      <c r="BL2" s="192"/>
      <c r="BM2" s="192"/>
      <c r="BN2" s="192"/>
      <c r="BO2" s="192"/>
      <c r="BP2" s="192"/>
      <c r="BQ2" s="192"/>
      <c r="BR2" s="192"/>
      <c r="BS2" s="192"/>
      <c r="BT2" s="192"/>
      <c r="BU2" s="193"/>
      <c r="BV2" s="28"/>
      <c r="BW2" s="28"/>
      <c r="BX2" s="28"/>
      <c r="BY2" s="28"/>
      <c r="BZ2" s="28"/>
      <c r="CA2" s="28"/>
      <c r="CB2" s="28"/>
      <c r="CC2" s="188" t="s">
        <v>118</v>
      </c>
      <c r="CD2" s="189"/>
      <c r="CE2" s="190"/>
      <c r="CF2" s="28"/>
      <c r="CG2" s="28"/>
      <c r="CH2" s="28"/>
      <c r="CI2" s="28"/>
      <c r="CJ2" s="191" t="s">
        <v>119</v>
      </c>
      <c r="CK2" s="192"/>
      <c r="CL2" s="192"/>
      <c r="CM2" s="192"/>
      <c r="CN2" s="192"/>
      <c r="CO2" s="192"/>
      <c r="CP2" s="192"/>
      <c r="CQ2" s="192"/>
      <c r="CR2" s="192"/>
      <c r="CS2" s="192"/>
      <c r="CT2" s="192"/>
      <c r="CU2" s="192"/>
      <c r="CV2" s="192"/>
      <c r="CW2" s="192"/>
      <c r="CX2" s="192"/>
      <c r="CY2" s="192"/>
      <c r="CZ2" s="192"/>
      <c r="DA2" s="192"/>
      <c r="DB2" s="192"/>
      <c r="DC2" s="192"/>
      <c r="DD2" s="193"/>
      <c r="DE2" s="191" t="s">
        <v>120</v>
      </c>
      <c r="DF2" s="192"/>
      <c r="DG2" s="192"/>
      <c r="DH2" s="192"/>
      <c r="DI2" s="192"/>
      <c r="DJ2" s="192"/>
      <c r="DK2" s="192"/>
      <c r="DL2" s="192"/>
      <c r="DM2" s="192"/>
      <c r="DN2" s="192"/>
      <c r="DO2" s="192"/>
      <c r="DP2" s="192"/>
      <c r="DQ2" s="192"/>
      <c r="DR2" s="192"/>
      <c r="DS2" s="192"/>
      <c r="DT2" s="192"/>
      <c r="DU2" s="192"/>
      <c r="DV2" s="192"/>
      <c r="DW2" s="192"/>
      <c r="DX2" s="192"/>
      <c r="DY2" s="193"/>
      <c r="DZ2" s="191" t="s">
        <v>121</v>
      </c>
      <c r="EA2" s="192"/>
      <c r="EB2" s="192"/>
      <c r="EC2" s="192"/>
      <c r="ED2" s="192"/>
      <c r="EE2" s="192"/>
      <c r="EF2" s="192"/>
      <c r="EG2" s="192"/>
      <c r="EH2" s="192"/>
      <c r="EI2" s="192"/>
      <c r="EJ2" s="192"/>
      <c r="EK2" s="192"/>
      <c r="EL2" s="192"/>
      <c r="EM2" s="192"/>
      <c r="EN2" s="192"/>
      <c r="EO2" s="192"/>
      <c r="EP2" s="192"/>
      <c r="EQ2" s="192"/>
      <c r="ER2" s="192"/>
      <c r="ES2" s="192"/>
      <c r="ET2" s="193"/>
      <c r="EU2" s="191" t="s">
        <v>122</v>
      </c>
      <c r="EV2" s="192"/>
      <c r="EW2" s="192"/>
      <c r="EX2" s="192"/>
      <c r="EY2" s="192"/>
      <c r="EZ2" s="192"/>
      <c r="FA2" s="192"/>
      <c r="FB2" s="192"/>
      <c r="FC2" s="192"/>
      <c r="FD2" s="192"/>
      <c r="FE2" s="192"/>
      <c r="FF2" s="192"/>
      <c r="FG2" s="192"/>
      <c r="FH2" s="192"/>
      <c r="FI2" s="192"/>
      <c r="FJ2" s="192"/>
      <c r="FK2" s="192"/>
      <c r="FL2" s="192"/>
      <c r="FM2" s="192"/>
      <c r="FN2" s="192"/>
      <c r="FO2" s="193"/>
      <c r="FP2" s="28"/>
      <c r="FQ2" s="28"/>
      <c r="FR2" s="28"/>
      <c r="FS2" s="28"/>
      <c r="FT2" s="28"/>
      <c r="FU2" s="28"/>
      <c r="FV2" s="28"/>
      <c r="FW2" s="188" t="s">
        <v>40</v>
      </c>
      <c r="FX2" s="189"/>
      <c r="FY2" s="190"/>
      <c r="FZ2" s="28"/>
      <c r="GA2" s="28"/>
      <c r="GB2" s="28"/>
      <c r="GC2" s="28"/>
      <c r="GD2" s="191" t="s">
        <v>41</v>
      </c>
      <c r="GE2" s="192"/>
      <c r="GF2" s="192"/>
      <c r="GG2" s="192"/>
      <c r="GH2" s="192"/>
      <c r="GI2" s="192"/>
      <c r="GJ2" s="192"/>
      <c r="GK2" s="192"/>
      <c r="GL2" s="192"/>
      <c r="GM2" s="192"/>
      <c r="GN2" s="192"/>
      <c r="GO2" s="192"/>
      <c r="GP2" s="192"/>
      <c r="GQ2" s="192"/>
      <c r="GR2" s="192"/>
      <c r="GS2" s="192"/>
      <c r="GT2" s="192"/>
      <c r="GU2" s="192"/>
      <c r="GV2" s="192"/>
      <c r="GW2" s="192"/>
      <c r="GX2" s="193"/>
      <c r="GY2" s="191" t="s">
        <v>42</v>
      </c>
      <c r="GZ2" s="192"/>
      <c r="HA2" s="192"/>
      <c r="HB2" s="192"/>
      <c r="HC2" s="192"/>
      <c r="HD2" s="192"/>
      <c r="HE2" s="192"/>
      <c r="HF2" s="192"/>
      <c r="HG2" s="192"/>
      <c r="HH2" s="192"/>
      <c r="HI2" s="192"/>
      <c r="HJ2" s="192"/>
      <c r="HK2" s="192"/>
      <c r="HL2" s="192"/>
      <c r="HM2" s="192"/>
      <c r="HN2" s="192"/>
      <c r="HO2" s="192"/>
      <c r="HP2" s="192"/>
      <c r="HQ2" s="192"/>
      <c r="HR2" s="192"/>
      <c r="HS2" s="193"/>
      <c r="HT2" s="191" t="s">
        <v>43</v>
      </c>
      <c r="HU2" s="192"/>
      <c r="HV2" s="192"/>
      <c r="HW2" s="192"/>
      <c r="HX2" s="192"/>
      <c r="HY2" s="192"/>
      <c r="HZ2" s="192"/>
      <c r="IA2" s="192"/>
      <c r="IB2" s="192"/>
      <c r="IC2" s="192"/>
      <c r="ID2" s="192"/>
      <c r="IE2" s="192"/>
      <c r="IF2" s="192"/>
      <c r="IG2" s="192"/>
      <c r="IH2" s="192"/>
      <c r="II2" s="192"/>
      <c r="IJ2" s="192"/>
      <c r="IK2" s="192"/>
      <c r="IL2" s="192"/>
      <c r="IM2" s="192"/>
      <c r="IN2" s="193"/>
      <c r="IO2" s="191" t="s">
        <v>44</v>
      </c>
      <c r="IP2" s="192"/>
      <c r="IQ2" s="192"/>
      <c r="IR2" s="192"/>
      <c r="IS2" s="192"/>
      <c r="IT2" s="192"/>
      <c r="IU2" s="192"/>
      <c r="IV2" s="192"/>
      <c r="IW2" s="192"/>
      <c r="IX2" s="192"/>
      <c r="IY2" s="192"/>
      <c r="IZ2" s="192"/>
      <c r="JA2" s="192"/>
      <c r="JB2" s="192"/>
      <c r="JC2" s="192"/>
      <c r="JD2" s="192"/>
      <c r="JE2" s="192"/>
      <c r="JF2" s="192"/>
      <c r="JG2" s="192"/>
      <c r="JH2" s="192"/>
      <c r="JI2" s="193"/>
      <c r="JJ2" s="28"/>
      <c r="JK2" s="28"/>
      <c r="JL2" s="28"/>
      <c r="JM2" s="28"/>
      <c r="JN2" s="28"/>
      <c r="JO2" s="28"/>
      <c r="JP2" s="28"/>
      <c r="JQ2" s="28"/>
      <c r="JR2" s="188" t="s">
        <v>45</v>
      </c>
      <c r="JS2" s="189"/>
      <c r="JT2" s="190"/>
      <c r="JU2" s="28"/>
      <c r="JV2" s="28"/>
      <c r="JW2" s="28"/>
      <c r="JX2" s="191" t="s">
        <v>46</v>
      </c>
      <c r="JY2" s="192"/>
      <c r="JZ2" s="192"/>
      <c r="KA2" s="192"/>
      <c r="KB2" s="192"/>
      <c r="KC2" s="192"/>
      <c r="KD2" s="192"/>
      <c r="KE2" s="192"/>
      <c r="KF2" s="192"/>
      <c r="KG2" s="192"/>
      <c r="KH2" s="192"/>
      <c r="KI2" s="192"/>
      <c r="KJ2" s="192"/>
      <c r="KK2" s="192"/>
      <c r="KL2" s="192"/>
      <c r="KM2" s="192"/>
      <c r="KN2" s="192"/>
      <c r="KO2" s="192"/>
      <c r="KP2" s="192"/>
      <c r="KQ2" s="192"/>
      <c r="KR2" s="193"/>
      <c r="KS2" s="28"/>
      <c r="KT2" s="28"/>
      <c r="KU2" s="28"/>
      <c r="KV2" s="28"/>
      <c r="KW2" s="28"/>
      <c r="KX2" s="28"/>
      <c r="KY2" s="28"/>
      <c r="KZ2" s="28"/>
      <c r="LA2" s="28"/>
      <c r="LB2" s="28"/>
      <c r="LC2" s="28"/>
      <c r="LD2" s="28"/>
      <c r="LE2" s="28"/>
      <c r="LF2" s="28"/>
      <c r="LG2" s="28"/>
      <c r="LH2" s="28"/>
      <c r="LI2" s="28"/>
      <c r="LJ2" s="28"/>
      <c r="LK2" s="28"/>
      <c r="LL2" s="28"/>
      <c r="LM2" s="28"/>
      <c r="LN2" s="28"/>
    </row>
    <row r="3" spans="1:326" s="13" customFormat="1" ht="18" x14ac:dyDescent="0.35">
      <c r="A3" s="57" t="s">
        <v>0</v>
      </c>
      <c r="B3" s="57" t="s">
        <v>1</v>
      </c>
      <c r="C3" s="57" t="s">
        <v>50</v>
      </c>
      <c r="E3" s="31">
        <f>Date_début</f>
        <v>46035</v>
      </c>
      <c r="F3" s="21">
        <f>E3+1</f>
        <v>46036</v>
      </c>
      <c r="G3" s="21">
        <f t="shared" ref="G3:BR3" si="0">F3+1</f>
        <v>46037</v>
      </c>
      <c r="H3" s="21">
        <f t="shared" si="0"/>
        <v>46038</v>
      </c>
      <c r="I3" s="31">
        <f t="shared" si="0"/>
        <v>46039</v>
      </c>
      <c r="J3" s="31">
        <f t="shared" si="0"/>
        <v>46040</v>
      </c>
      <c r="K3" s="31">
        <f t="shared" si="0"/>
        <v>46041</v>
      </c>
      <c r="L3" s="31">
        <f t="shared" si="0"/>
        <v>46042</v>
      </c>
      <c r="M3" s="31">
        <f t="shared" si="0"/>
        <v>46043</v>
      </c>
      <c r="N3" s="31">
        <f t="shared" si="0"/>
        <v>46044</v>
      </c>
      <c r="O3" s="31">
        <f t="shared" si="0"/>
        <v>46045</v>
      </c>
      <c r="P3" s="31">
        <f t="shared" si="0"/>
        <v>46046</v>
      </c>
      <c r="Q3" s="31">
        <f t="shared" si="0"/>
        <v>46047</v>
      </c>
      <c r="R3" s="31">
        <f t="shared" si="0"/>
        <v>46048</v>
      </c>
      <c r="S3" s="31">
        <f t="shared" si="0"/>
        <v>46049</v>
      </c>
      <c r="T3" s="31">
        <f t="shared" si="0"/>
        <v>46050</v>
      </c>
      <c r="U3" s="31">
        <f t="shared" si="0"/>
        <v>46051</v>
      </c>
      <c r="V3" s="31">
        <f t="shared" si="0"/>
        <v>46052</v>
      </c>
      <c r="W3" s="31">
        <f t="shared" si="0"/>
        <v>46053</v>
      </c>
      <c r="X3" s="31">
        <f t="shared" si="0"/>
        <v>46054</v>
      </c>
      <c r="Y3" s="31">
        <f t="shared" si="0"/>
        <v>46055</v>
      </c>
      <c r="Z3" s="31">
        <f t="shared" si="0"/>
        <v>46056</v>
      </c>
      <c r="AA3" s="31">
        <f t="shared" si="0"/>
        <v>46057</v>
      </c>
      <c r="AB3" s="31">
        <f t="shared" si="0"/>
        <v>46058</v>
      </c>
      <c r="AC3" s="31">
        <f t="shared" si="0"/>
        <v>46059</v>
      </c>
      <c r="AD3" s="31">
        <f t="shared" si="0"/>
        <v>46060</v>
      </c>
      <c r="AE3" s="31">
        <f t="shared" si="0"/>
        <v>46061</v>
      </c>
      <c r="AF3" s="31">
        <f t="shared" si="0"/>
        <v>46062</v>
      </c>
      <c r="AG3" s="31">
        <f t="shared" si="0"/>
        <v>46063</v>
      </c>
      <c r="AH3" s="31">
        <f t="shared" si="0"/>
        <v>46064</v>
      </c>
      <c r="AI3" s="31">
        <f t="shared" si="0"/>
        <v>46065</v>
      </c>
      <c r="AJ3" s="31">
        <f t="shared" si="0"/>
        <v>46066</v>
      </c>
      <c r="AK3" s="31">
        <f t="shared" si="0"/>
        <v>46067</v>
      </c>
      <c r="AL3" s="31">
        <f t="shared" si="0"/>
        <v>46068</v>
      </c>
      <c r="AM3" s="31">
        <f t="shared" si="0"/>
        <v>46069</v>
      </c>
      <c r="AN3" s="31">
        <f t="shared" si="0"/>
        <v>46070</v>
      </c>
      <c r="AO3" s="31">
        <f t="shared" si="0"/>
        <v>46071</v>
      </c>
      <c r="AP3" s="31">
        <f t="shared" si="0"/>
        <v>46072</v>
      </c>
      <c r="AQ3" s="31">
        <f t="shared" si="0"/>
        <v>46073</v>
      </c>
      <c r="AR3" s="31">
        <f t="shared" si="0"/>
        <v>46074</v>
      </c>
      <c r="AS3" s="31">
        <f t="shared" si="0"/>
        <v>46075</v>
      </c>
      <c r="AT3" s="31">
        <f t="shared" si="0"/>
        <v>46076</v>
      </c>
      <c r="AU3" s="31">
        <f t="shared" si="0"/>
        <v>46077</v>
      </c>
      <c r="AV3" s="31">
        <f t="shared" si="0"/>
        <v>46078</v>
      </c>
      <c r="AW3" s="31">
        <f t="shared" si="0"/>
        <v>46079</v>
      </c>
      <c r="AX3" s="31">
        <f t="shared" si="0"/>
        <v>46080</v>
      </c>
      <c r="AY3" s="31">
        <f t="shared" si="0"/>
        <v>46081</v>
      </c>
      <c r="AZ3" s="31">
        <f t="shared" si="0"/>
        <v>46082</v>
      </c>
      <c r="BA3" s="31">
        <f t="shared" si="0"/>
        <v>46083</v>
      </c>
      <c r="BB3" s="31">
        <f t="shared" si="0"/>
        <v>46084</v>
      </c>
      <c r="BC3" s="31">
        <f t="shared" si="0"/>
        <v>46085</v>
      </c>
      <c r="BD3" s="31">
        <f t="shared" si="0"/>
        <v>46086</v>
      </c>
      <c r="BE3" s="31">
        <f t="shared" si="0"/>
        <v>46087</v>
      </c>
      <c r="BF3" s="31">
        <f t="shared" si="0"/>
        <v>46088</v>
      </c>
      <c r="BG3" s="31">
        <f t="shared" si="0"/>
        <v>46089</v>
      </c>
      <c r="BH3" s="31">
        <f t="shared" si="0"/>
        <v>46090</v>
      </c>
      <c r="BI3" s="31">
        <f t="shared" si="0"/>
        <v>46091</v>
      </c>
      <c r="BJ3" s="31">
        <f t="shared" si="0"/>
        <v>46092</v>
      </c>
      <c r="BK3" s="31">
        <f t="shared" si="0"/>
        <v>46093</v>
      </c>
      <c r="BL3" s="31">
        <f t="shared" si="0"/>
        <v>46094</v>
      </c>
      <c r="BM3" s="31">
        <f t="shared" si="0"/>
        <v>46095</v>
      </c>
      <c r="BN3" s="31">
        <f t="shared" si="0"/>
        <v>46096</v>
      </c>
      <c r="BO3" s="31">
        <f t="shared" si="0"/>
        <v>46097</v>
      </c>
      <c r="BP3" s="31">
        <f t="shared" si="0"/>
        <v>46098</v>
      </c>
      <c r="BQ3" s="31">
        <f t="shared" si="0"/>
        <v>46099</v>
      </c>
      <c r="BR3" s="31">
        <f t="shared" si="0"/>
        <v>46100</v>
      </c>
      <c r="BS3" s="31">
        <f t="shared" ref="BS3:ED3" si="1">BR3+1</f>
        <v>46101</v>
      </c>
      <c r="BT3" s="31">
        <f t="shared" si="1"/>
        <v>46102</v>
      </c>
      <c r="BU3" s="31">
        <f t="shared" si="1"/>
        <v>46103</v>
      </c>
      <c r="BV3" s="31">
        <f t="shared" si="1"/>
        <v>46104</v>
      </c>
      <c r="BW3" s="31">
        <f t="shared" si="1"/>
        <v>46105</v>
      </c>
      <c r="BX3" s="31">
        <f t="shared" si="1"/>
        <v>46106</v>
      </c>
      <c r="BY3" s="31">
        <f t="shared" si="1"/>
        <v>46107</v>
      </c>
      <c r="BZ3" s="31">
        <f t="shared" si="1"/>
        <v>46108</v>
      </c>
      <c r="CA3" s="31">
        <f t="shared" si="1"/>
        <v>46109</v>
      </c>
      <c r="CB3" s="31">
        <f t="shared" si="1"/>
        <v>46110</v>
      </c>
      <c r="CC3" s="21">
        <f t="shared" si="1"/>
        <v>46111</v>
      </c>
      <c r="CD3" s="21">
        <f t="shared" si="1"/>
        <v>46112</v>
      </c>
      <c r="CE3" s="21">
        <f t="shared" si="1"/>
        <v>46113</v>
      </c>
      <c r="CF3" s="31">
        <f t="shared" si="1"/>
        <v>46114</v>
      </c>
      <c r="CG3" s="31">
        <f t="shared" si="1"/>
        <v>46115</v>
      </c>
      <c r="CH3" s="31">
        <f t="shared" si="1"/>
        <v>46116</v>
      </c>
      <c r="CI3" s="31">
        <f t="shared" si="1"/>
        <v>46117</v>
      </c>
      <c r="CJ3" s="31">
        <f t="shared" si="1"/>
        <v>46118</v>
      </c>
      <c r="CK3" s="31">
        <f t="shared" si="1"/>
        <v>46119</v>
      </c>
      <c r="CL3" s="31">
        <f t="shared" si="1"/>
        <v>46120</v>
      </c>
      <c r="CM3" s="31">
        <f t="shared" si="1"/>
        <v>46121</v>
      </c>
      <c r="CN3" s="31">
        <f t="shared" si="1"/>
        <v>46122</v>
      </c>
      <c r="CO3" s="31">
        <f t="shared" si="1"/>
        <v>46123</v>
      </c>
      <c r="CP3" s="31">
        <f t="shared" si="1"/>
        <v>46124</v>
      </c>
      <c r="CQ3" s="31">
        <f t="shared" si="1"/>
        <v>46125</v>
      </c>
      <c r="CR3" s="31">
        <f t="shared" si="1"/>
        <v>46126</v>
      </c>
      <c r="CS3" s="31">
        <f t="shared" si="1"/>
        <v>46127</v>
      </c>
      <c r="CT3" s="31">
        <f t="shared" si="1"/>
        <v>46128</v>
      </c>
      <c r="CU3" s="31">
        <f t="shared" si="1"/>
        <v>46129</v>
      </c>
      <c r="CV3" s="31">
        <f t="shared" si="1"/>
        <v>46130</v>
      </c>
      <c r="CW3" s="31">
        <f t="shared" si="1"/>
        <v>46131</v>
      </c>
      <c r="CX3" s="31">
        <f t="shared" si="1"/>
        <v>46132</v>
      </c>
      <c r="CY3" s="80">
        <f t="shared" si="1"/>
        <v>46133</v>
      </c>
      <c r="CZ3" s="80">
        <f t="shared" si="1"/>
        <v>46134</v>
      </c>
      <c r="DA3" s="80">
        <f t="shared" si="1"/>
        <v>46135</v>
      </c>
      <c r="DB3" s="80">
        <f t="shared" si="1"/>
        <v>46136</v>
      </c>
      <c r="DC3" s="80">
        <f t="shared" si="1"/>
        <v>46137</v>
      </c>
      <c r="DD3" s="80">
        <f t="shared" si="1"/>
        <v>46138</v>
      </c>
      <c r="DE3" s="80">
        <f t="shared" si="1"/>
        <v>46139</v>
      </c>
      <c r="DF3" s="80">
        <f t="shared" si="1"/>
        <v>46140</v>
      </c>
      <c r="DG3" s="80">
        <f t="shared" si="1"/>
        <v>46141</v>
      </c>
      <c r="DH3" s="80">
        <f t="shared" si="1"/>
        <v>46142</v>
      </c>
      <c r="DI3" s="80">
        <f t="shared" si="1"/>
        <v>46143</v>
      </c>
      <c r="DJ3" s="80">
        <f t="shared" si="1"/>
        <v>46144</v>
      </c>
      <c r="DK3" s="80">
        <f t="shared" si="1"/>
        <v>46145</v>
      </c>
      <c r="DL3" s="80">
        <f t="shared" si="1"/>
        <v>46146</v>
      </c>
      <c r="DM3" s="80">
        <f t="shared" si="1"/>
        <v>46147</v>
      </c>
      <c r="DN3" s="80">
        <f t="shared" si="1"/>
        <v>46148</v>
      </c>
      <c r="DO3" s="80">
        <f t="shared" si="1"/>
        <v>46149</v>
      </c>
      <c r="DP3" s="80">
        <f t="shared" si="1"/>
        <v>46150</v>
      </c>
      <c r="DQ3" s="80">
        <f t="shared" si="1"/>
        <v>46151</v>
      </c>
      <c r="DR3" s="80">
        <f t="shared" si="1"/>
        <v>46152</v>
      </c>
      <c r="DS3" s="80">
        <f t="shared" si="1"/>
        <v>46153</v>
      </c>
      <c r="DT3" s="80">
        <f t="shared" si="1"/>
        <v>46154</v>
      </c>
      <c r="DU3" s="80">
        <f t="shared" si="1"/>
        <v>46155</v>
      </c>
      <c r="DV3" s="80">
        <f t="shared" si="1"/>
        <v>46156</v>
      </c>
      <c r="DW3" s="80">
        <f t="shared" si="1"/>
        <v>46157</v>
      </c>
      <c r="DX3" s="80">
        <f t="shared" si="1"/>
        <v>46158</v>
      </c>
      <c r="DY3" s="80">
        <f t="shared" si="1"/>
        <v>46159</v>
      </c>
      <c r="DZ3" s="80">
        <f t="shared" si="1"/>
        <v>46160</v>
      </c>
      <c r="EA3" s="80">
        <f t="shared" si="1"/>
        <v>46161</v>
      </c>
      <c r="EB3" s="80">
        <f t="shared" si="1"/>
        <v>46162</v>
      </c>
      <c r="EC3" s="31">
        <f t="shared" si="1"/>
        <v>46163</v>
      </c>
      <c r="ED3" s="31">
        <f t="shared" si="1"/>
        <v>46164</v>
      </c>
      <c r="EE3" s="31">
        <f t="shared" ref="EE3:FA3" si="2">ED3+1</f>
        <v>46165</v>
      </c>
      <c r="EF3" s="31">
        <f t="shared" si="2"/>
        <v>46166</v>
      </c>
      <c r="EG3" s="31">
        <f t="shared" si="2"/>
        <v>46167</v>
      </c>
      <c r="EH3" s="31">
        <f t="shared" si="2"/>
        <v>46168</v>
      </c>
      <c r="EI3" s="31">
        <f t="shared" si="2"/>
        <v>46169</v>
      </c>
      <c r="EJ3" s="31">
        <f t="shared" si="2"/>
        <v>46170</v>
      </c>
      <c r="EK3" s="31">
        <f t="shared" si="2"/>
        <v>46171</v>
      </c>
      <c r="EL3" s="31">
        <f t="shared" si="2"/>
        <v>46172</v>
      </c>
      <c r="EM3" s="31">
        <f t="shared" si="2"/>
        <v>46173</v>
      </c>
      <c r="EN3" s="31">
        <f t="shared" si="2"/>
        <v>46174</v>
      </c>
      <c r="EO3" s="31">
        <f t="shared" si="2"/>
        <v>46175</v>
      </c>
      <c r="EP3" s="31">
        <f t="shared" si="2"/>
        <v>46176</v>
      </c>
      <c r="EQ3" s="31">
        <f t="shared" si="2"/>
        <v>46177</v>
      </c>
      <c r="ER3" s="31">
        <f t="shared" si="2"/>
        <v>46178</v>
      </c>
      <c r="ES3" s="31">
        <f t="shared" si="2"/>
        <v>46179</v>
      </c>
      <c r="ET3" s="31">
        <f t="shared" si="2"/>
        <v>46180</v>
      </c>
      <c r="EU3" s="31">
        <f t="shared" si="2"/>
        <v>46181</v>
      </c>
      <c r="EV3" s="31">
        <f t="shared" si="2"/>
        <v>46182</v>
      </c>
      <c r="EW3" s="31">
        <f t="shared" si="2"/>
        <v>46183</v>
      </c>
      <c r="EX3" s="31">
        <f t="shared" si="2"/>
        <v>46184</v>
      </c>
      <c r="EY3" s="31">
        <f t="shared" si="2"/>
        <v>46185</v>
      </c>
      <c r="EZ3" s="31">
        <f t="shared" si="2"/>
        <v>46186</v>
      </c>
      <c r="FA3" s="31">
        <f t="shared" si="2"/>
        <v>46187</v>
      </c>
      <c r="FB3" s="31">
        <f t="shared" ref="FB3:GG3" si="3">FA3+1</f>
        <v>46188</v>
      </c>
      <c r="FC3" s="31">
        <f t="shared" si="3"/>
        <v>46189</v>
      </c>
      <c r="FD3" s="31">
        <f t="shared" si="3"/>
        <v>46190</v>
      </c>
      <c r="FE3" s="31">
        <f t="shared" si="3"/>
        <v>46191</v>
      </c>
      <c r="FF3" s="31">
        <f t="shared" si="3"/>
        <v>46192</v>
      </c>
      <c r="FG3" s="31">
        <f t="shared" si="3"/>
        <v>46193</v>
      </c>
      <c r="FH3" s="31">
        <f t="shared" si="3"/>
        <v>46194</v>
      </c>
      <c r="FI3" s="31">
        <f t="shared" si="3"/>
        <v>46195</v>
      </c>
      <c r="FJ3" s="31">
        <f t="shared" si="3"/>
        <v>46196</v>
      </c>
      <c r="FK3" s="31">
        <f t="shared" si="3"/>
        <v>46197</v>
      </c>
      <c r="FL3" s="31">
        <f t="shared" si="3"/>
        <v>46198</v>
      </c>
      <c r="FM3" s="31">
        <f t="shared" si="3"/>
        <v>46199</v>
      </c>
      <c r="FN3" s="31">
        <f t="shared" si="3"/>
        <v>46200</v>
      </c>
      <c r="FO3" s="31">
        <f t="shared" si="3"/>
        <v>46201</v>
      </c>
      <c r="FP3" s="31">
        <f t="shared" si="3"/>
        <v>46202</v>
      </c>
      <c r="FQ3" s="31">
        <f t="shared" si="3"/>
        <v>46203</v>
      </c>
      <c r="FR3" s="31">
        <f t="shared" si="3"/>
        <v>46204</v>
      </c>
      <c r="FS3" s="31">
        <f t="shared" si="3"/>
        <v>46205</v>
      </c>
      <c r="FT3" s="31">
        <f t="shared" si="3"/>
        <v>46206</v>
      </c>
      <c r="FU3" s="31">
        <f t="shared" si="3"/>
        <v>46207</v>
      </c>
      <c r="FV3" s="31">
        <f t="shared" si="3"/>
        <v>46208</v>
      </c>
      <c r="FW3" s="21">
        <f t="shared" si="3"/>
        <v>46209</v>
      </c>
      <c r="FX3" s="21">
        <f t="shared" si="3"/>
        <v>46210</v>
      </c>
      <c r="FY3" s="21">
        <f t="shared" si="3"/>
        <v>46211</v>
      </c>
      <c r="FZ3" s="31">
        <f t="shared" si="3"/>
        <v>46212</v>
      </c>
      <c r="GA3" s="31">
        <f t="shared" si="3"/>
        <v>46213</v>
      </c>
      <c r="GB3" s="31">
        <f t="shared" si="3"/>
        <v>46214</v>
      </c>
      <c r="GC3" s="31">
        <f t="shared" si="3"/>
        <v>46215</v>
      </c>
      <c r="GD3" s="31">
        <f t="shared" si="3"/>
        <v>46216</v>
      </c>
      <c r="GE3" s="31">
        <f t="shared" si="3"/>
        <v>46217</v>
      </c>
      <c r="GF3" s="31">
        <f t="shared" si="3"/>
        <v>46218</v>
      </c>
      <c r="GG3" s="31">
        <f t="shared" si="3"/>
        <v>46219</v>
      </c>
      <c r="GH3" s="31">
        <f t="shared" ref="GH3:HJ3" si="4">GG3+1</f>
        <v>46220</v>
      </c>
      <c r="GI3" s="31">
        <f t="shared" si="4"/>
        <v>46221</v>
      </c>
      <c r="GJ3" s="31">
        <f t="shared" si="4"/>
        <v>46222</v>
      </c>
      <c r="GK3" s="31">
        <f t="shared" si="4"/>
        <v>46223</v>
      </c>
      <c r="GL3" s="31">
        <f t="shared" si="4"/>
        <v>46224</v>
      </c>
      <c r="GM3" s="31">
        <f t="shared" si="4"/>
        <v>46225</v>
      </c>
      <c r="GN3" s="31">
        <f t="shared" si="4"/>
        <v>46226</v>
      </c>
      <c r="GO3" s="31">
        <f t="shared" si="4"/>
        <v>46227</v>
      </c>
      <c r="GP3" s="31">
        <f t="shared" si="4"/>
        <v>46228</v>
      </c>
      <c r="GQ3" s="31">
        <f t="shared" si="4"/>
        <v>46229</v>
      </c>
      <c r="GR3" s="31">
        <f t="shared" si="4"/>
        <v>46230</v>
      </c>
      <c r="GS3" s="31">
        <f t="shared" si="4"/>
        <v>46231</v>
      </c>
      <c r="GT3" s="31">
        <f t="shared" si="4"/>
        <v>46232</v>
      </c>
      <c r="GU3" s="31">
        <f t="shared" si="4"/>
        <v>46233</v>
      </c>
      <c r="GV3" s="31">
        <f t="shared" si="4"/>
        <v>46234</v>
      </c>
      <c r="GW3" s="31">
        <f t="shared" si="4"/>
        <v>46235</v>
      </c>
      <c r="GX3" s="31">
        <f t="shared" si="4"/>
        <v>46236</v>
      </c>
      <c r="GY3" s="31">
        <f t="shared" si="4"/>
        <v>46237</v>
      </c>
      <c r="GZ3" s="31">
        <f t="shared" si="4"/>
        <v>46238</v>
      </c>
      <c r="HA3" s="31">
        <f t="shared" si="4"/>
        <v>46239</v>
      </c>
      <c r="HB3" s="31">
        <f t="shared" si="4"/>
        <v>46240</v>
      </c>
      <c r="HC3" s="31">
        <f t="shared" si="4"/>
        <v>46241</v>
      </c>
      <c r="HD3" s="31">
        <f t="shared" si="4"/>
        <v>46242</v>
      </c>
      <c r="HE3" s="31">
        <f t="shared" si="4"/>
        <v>46243</v>
      </c>
      <c r="HF3" s="31">
        <f t="shared" si="4"/>
        <v>46244</v>
      </c>
      <c r="HG3" s="31">
        <f t="shared" si="4"/>
        <v>46245</v>
      </c>
      <c r="HH3" s="31">
        <f t="shared" si="4"/>
        <v>46246</v>
      </c>
      <c r="HI3" s="31">
        <f t="shared" si="4"/>
        <v>46247</v>
      </c>
      <c r="HJ3" s="31">
        <f t="shared" si="4"/>
        <v>46248</v>
      </c>
      <c r="HK3" s="31">
        <f t="shared" ref="HK3:IP3" si="5">HJ3+1</f>
        <v>46249</v>
      </c>
      <c r="HL3" s="31">
        <f t="shared" si="5"/>
        <v>46250</v>
      </c>
      <c r="HM3" s="31">
        <f t="shared" si="5"/>
        <v>46251</v>
      </c>
      <c r="HN3" s="31">
        <f t="shared" si="5"/>
        <v>46252</v>
      </c>
      <c r="HO3" s="31">
        <f t="shared" si="5"/>
        <v>46253</v>
      </c>
      <c r="HP3" s="31">
        <f t="shared" si="5"/>
        <v>46254</v>
      </c>
      <c r="HQ3" s="31">
        <f t="shared" si="5"/>
        <v>46255</v>
      </c>
      <c r="HR3" s="31">
        <f t="shared" si="5"/>
        <v>46256</v>
      </c>
      <c r="HS3" s="31">
        <f t="shared" si="5"/>
        <v>46257</v>
      </c>
      <c r="HT3" s="31">
        <f t="shared" si="5"/>
        <v>46258</v>
      </c>
      <c r="HU3" s="31">
        <f t="shared" si="5"/>
        <v>46259</v>
      </c>
      <c r="HV3" s="31">
        <f t="shared" si="5"/>
        <v>46260</v>
      </c>
      <c r="HW3" s="31">
        <f t="shared" si="5"/>
        <v>46261</v>
      </c>
      <c r="HX3" s="31">
        <f t="shared" si="5"/>
        <v>46262</v>
      </c>
      <c r="HY3" s="31">
        <f t="shared" si="5"/>
        <v>46263</v>
      </c>
      <c r="HZ3" s="31">
        <f t="shared" si="5"/>
        <v>46264</v>
      </c>
      <c r="IA3" s="31">
        <f t="shared" si="5"/>
        <v>46265</v>
      </c>
      <c r="IB3" s="31">
        <f t="shared" si="5"/>
        <v>46266</v>
      </c>
      <c r="IC3" s="31">
        <f t="shared" si="5"/>
        <v>46267</v>
      </c>
      <c r="ID3" s="31">
        <f t="shared" si="5"/>
        <v>46268</v>
      </c>
      <c r="IE3" s="31">
        <f t="shared" si="5"/>
        <v>46269</v>
      </c>
      <c r="IF3" s="31">
        <f t="shared" si="5"/>
        <v>46270</v>
      </c>
      <c r="IG3" s="31">
        <f t="shared" si="5"/>
        <v>46271</v>
      </c>
      <c r="IH3" s="31">
        <f t="shared" si="5"/>
        <v>46272</v>
      </c>
      <c r="II3" s="31">
        <f t="shared" si="5"/>
        <v>46273</v>
      </c>
      <c r="IJ3" s="31">
        <f t="shared" si="5"/>
        <v>46274</v>
      </c>
      <c r="IK3" s="31">
        <f t="shared" si="5"/>
        <v>46275</v>
      </c>
      <c r="IL3" s="31">
        <f t="shared" si="5"/>
        <v>46276</v>
      </c>
      <c r="IM3" s="31">
        <f t="shared" si="5"/>
        <v>46277</v>
      </c>
      <c r="IN3" s="31">
        <f t="shared" si="5"/>
        <v>46278</v>
      </c>
      <c r="IO3" s="31">
        <f t="shared" si="5"/>
        <v>46279</v>
      </c>
      <c r="IP3" s="31">
        <f t="shared" si="5"/>
        <v>46280</v>
      </c>
      <c r="IQ3" s="31">
        <f t="shared" ref="IQ3:JV3" si="6">IP3+1</f>
        <v>46281</v>
      </c>
      <c r="IR3" s="31">
        <f t="shared" si="6"/>
        <v>46282</v>
      </c>
      <c r="IS3" s="31">
        <f t="shared" si="6"/>
        <v>46283</v>
      </c>
      <c r="IT3" s="31">
        <f t="shared" si="6"/>
        <v>46284</v>
      </c>
      <c r="IU3" s="31">
        <f t="shared" si="6"/>
        <v>46285</v>
      </c>
      <c r="IV3" s="31">
        <f t="shared" si="6"/>
        <v>46286</v>
      </c>
      <c r="IW3" s="31">
        <f t="shared" si="6"/>
        <v>46287</v>
      </c>
      <c r="IX3" s="31">
        <f t="shared" si="6"/>
        <v>46288</v>
      </c>
      <c r="IY3" s="31">
        <f t="shared" si="6"/>
        <v>46289</v>
      </c>
      <c r="IZ3" s="31">
        <f t="shared" si="6"/>
        <v>46290</v>
      </c>
      <c r="JA3" s="31">
        <f t="shared" si="6"/>
        <v>46291</v>
      </c>
      <c r="JB3" s="31">
        <f t="shared" si="6"/>
        <v>46292</v>
      </c>
      <c r="JC3" s="31">
        <f t="shared" si="6"/>
        <v>46293</v>
      </c>
      <c r="JD3" s="31">
        <f t="shared" si="6"/>
        <v>46294</v>
      </c>
      <c r="JE3" s="31">
        <f t="shared" si="6"/>
        <v>46295</v>
      </c>
      <c r="JF3" s="31">
        <f t="shared" si="6"/>
        <v>46296</v>
      </c>
      <c r="JG3" s="31">
        <f t="shared" si="6"/>
        <v>46297</v>
      </c>
      <c r="JH3" s="31">
        <f t="shared" si="6"/>
        <v>46298</v>
      </c>
      <c r="JI3" s="31">
        <f t="shared" si="6"/>
        <v>46299</v>
      </c>
      <c r="JJ3" s="31">
        <f t="shared" si="6"/>
        <v>46300</v>
      </c>
      <c r="JK3" s="31">
        <f t="shared" si="6"/>
        <v>46301</v>
      </c>
      <c r="JL3" s="31">
        <f t="shared" si="6"/>
        <v>46302</v>
      </c>
      <c r="JM3" s="31">
        <f t="shared" si="6"/>
        <v>46303</v>
      </c>
      <c r="JN3" s="31">
        <f t="shared" si="6"/>
        <v>46304</v>
      </c>
      <c r="JO3" s="31">
        <f t="shared" si="6"/>
        <v>46305</v>
      </c>
      <c r="JP3" s="31">
        <f t="shared" si="6"/>
        <v>46306</v>
      </c>
      <c r="JQ3" s="31">
        <f t="shared" si="6"/>
        <v>46307</v>
      </c>
      <c r="JR3" s="21">
        <f t="shared" si="6"/>
        <v>46308</v>
      </c>
      <c r="JS3" s="21">
        <f t="shared" si="6"/>
        <v>46309</v>
      </c>
      <c r="JT3" s="21">
        <f t="shared" si="6"/>
        <v>46310</v>
      </c>
      <c r="JU3" s="31">
        <f t="shared" si="6"/>
        <v>46311</v>
      </c>
      <c r="JV3" s="31">
        <f t="shared" si="6"/>
        <v>46312</v>
      </c>
      <c r="JW3" s="31">
        <f t="shared" ref="JW3:KV3" si="7">JV3+1</f>
        <v>46313</v>
      </c>
      <c r="JX3" s="31">
        <f t="shared" si="7"/>
        <v>46314</v>
      </c>
      <c r="JY3" s="31">
        <f t="shared" si="7"/>
        <v>46315</v>
      </c>
      <c r="JZ3" s="31">
        <f t="shared" si="7"/>
        <v>46316</v>
      </c>
      <c r="KA3" s="31">
        <f t="shared" si="7"/>
        <v>46317</v>
      </c>
      <c r="KB3" s="31">
        <f t="shared" si="7"/>
        <v>46318</v>
      </c>
      <c r="KC3" s="31">
        <f t="shared" si="7"/>
        <v>46319</v>
      </c>
      <c r="KD3" s="31">
        <f t="shared" si="7"/>
        <v>46320</v>
      </c>
      <c r="KE3" s="31">
        <f t="shared" si="7"/>
        <v>46321</v>
      </c>
      <c r="KF3" s="31">
        <f t="shared" si="7"/>
        <v>46322</v>
      </c>
      <c r="KG3" s="31">
        <f t="shared" si="7"/>
        <v>46323</v>
      </c>
      <c r="KH3" s="31">
        <f t="shared" si="7"/>
        <v>46324</v>
      </c>
      <c r="KI3" s="31">
        <f t="shared" si="7"/>
        <v>46325</v>
      </c>
      <c r="KJ3" s="31">
        <f t="shared" si="7"/>
        <v>46326</v>
      </c>
      <c r="KK3" s="31">
        <f t="shared" si="7"/>
        <v>46327</v>
      </c>
      <c r="KL3" s="31">
        <f t="shared" si="7"/>
        <v>46328</v>
      </c>
      <c r="KM3" s="31">
        <f t="shared" si="7"/>
        <v>46329</v>
      </c>
      <c r="KN3" s="31">
        <f t="shared" si="7"/>
        <v>46330</v>
      </c>
      <c r="KO3" s="31">
        <f t="shared" si="7"/>
        <v>46331</v>
      </c>
      <c r="KP3" s="31">
        <f t="shared" si="7"/>
        <v>46332</v>
      </c>
      <c r="KQ3" s="31">
        <f t="shared" si="7"/>
        <v>46333</v>
      </c>
      <c r="KR3" s="31">
        <f t="shared" si="7"/>
        <v>46334</v>
      </c>
      <c r="KS3" s="31">
        <f t="shared" si="7"/>
        <v>46335</v>
      </c>
      <c r="KT3" s="31">
        <f t="shared" si="7"/>
        <v>46336</v>
      </c>
      <c r="KU3" s="31">
        <f t="shared" si="7"/>
        <v>46337</v>
      </c>
      <c r="KV3" s="31">
        <f t="shared" si="7"/>
        <v>46338</v>
      </c>
      <c r="KW3" s="143"/>
      <c r="KX3" s="143"/>
      <c r="KY3" s="143"/>
      <c r="KZ3" s="143"/>
      <c r="LA3" s="143"/>
      <c r="LB3" s="143"/>
      <c r="LC3" s="143"/>
      <c r="LD3" s="143"/>
      <c r="LE3" s="143"/>
      <c r="LF3" s="143"/>
      <c r="LG3" s="143"/>
      <c r="LH3" s="143"/>
      <c r="LI3" s="143"/>
      <c r="LJ3" s="143"/>
      <c r="LK3" s="143"/>
      <c r="LL3" s="143"/>
      <c r="LM3" s="143"/>
      <c r="LN3" s="143"/>
    </row>
    <row r="4" spans="1:326" s="30" customFormat="1" ht="15" thickBot="1" x14ac:dyDescent="0.35">
      <c r="A4" s="150" t="s">
        <v>664</v>
      </c>
      <c r="B4" s="150" t="s">
        <v>51</v>
      </c>
      <c r="C4" s="150" t="s">
        <v>7</v>
      </c>
      <c r="E4" s="58"/>
      <c r="F4" s="58"/>
      <c r="G4" s="58"/>
      <c r="H4" s="58"/>
      <c r="I4" s="58"/>
      <c r="J4" s="58"/>
      <c r="K4" s="149"/>
      <c r="L4" s="149"/>
      <c r="M4" s="149"/>
      <c r="N4" s="149"/>
      <c r="O4" s="149"/>
      <c r="P4" s="149"/>
      <c r="Q4" s="149"/>
      <c r="R4" s="149"/>
      <c r="S4" s="149"/>
      <c r="T4" s="149"/>
      <c r="U4" s="149"/>
      <c r="V4" s="149"/>
      <c r="W4" s="149"/>
      <c r="X4" s="149"/>
      <c r="Y4" s="149"/>
      <c r="Z4" s="149"/>
      <c r="AA4" s="149"/>
      <c r="AB4" s="149"/>
      <c r="AC4" s="149"/>
      <c r="AD4" s="149"/>
      <c r="AE4" s="149"/>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2"/>
      <c r="BH4" s="152"/>
      <c r="BI4" s="152"/>
      <c r="BJ4" s="152"/>
      <c r="BK4" s="152"/>
      <c r="BL4" s="152"/>
      <c r="BM4" s="152"/>
      <c r="BN4" s="152"/>
      <c r="BO4" s="152"/>
      <c r="BP4" s="152"/>
      <c r="BQ4" s="152"/>
      <c r="BR4" s="152"/>
      <c r="BS4" s="152"/>
      <c r="DT4" s="58"/>
      <c r="DU4" s="58"/>
      <c r="DV4" s="58"/>
      <c r="DW4" s="58"/>
      <c r="DX4" s="58"/>
      <c r="DY4" s="58"/>
      <c r="DZ4" s="58"/>
      <c r="EA4" s="58"/>
      <c r="EB4" s="58"/>
      <c r="EC4" s="58"/>
      <c r="ED4" s="58"/>
      <c r="EE4" s="58"/>
      <c r="EF4" s="58"/>
      <c r="EG4" s="58"/>
      <c r="EH4" s="58"/>
      <c r="EI4" s="58"/>
      <c r="EJ4" s="58"/>
      <c r="EK4" s="58"/>
      <c r="EL4" s="58"/>
      <c r="EM4" s="58"/>
      <c r="EN4" s="58"/>
      <c r="EO4" s="58"/>
      <c r="EP4" s="58"/>
      <c r="EQ4" s="58"/>
      <c r="ER4" s="58"/>
      <c r="ES4" s="58"/>
      <c r="ET4" s="58"/>
      <c r="EU4" s="58"/>
      <c r="EV4" s="58"/>
      <c r="EW4" s="58"/>
      <c r="EX4" s="58"/>
      <c r="EY4" s="58"/>
      <c r="EZ4" s="58"/>
      <c r="FA4" s="58"/>
      <c r="FB4" s="58"/>
      <c r="FC4" s="58"/>
      <c r="FD4" s="58"/>
      <c r="FE4" s="58"/>
      <c r="FF4" s="58"/>
      <c r="FG4" s="58"/>
      <c r="FH4" s="58"/>
      <c r="FI4" s="58"/>
      <c r="FJ4" s="58"/>
      <c r="FK4" s="58"/>
      <c r="FL4" s="58"/>
      <c r="FM4" s="58"/>
      <c r="FN4" s="58"/>
      <c r="FO4" s="58"/>
      <c r="FP4" s="58"/>
      <c r="FQ4" s="58"/>
      <c r="FR4" s="58"/>
      <c r="FS4" s="58"/>
      <c r="FT4" s="58"/>
      <c r="FU4" s="58"/>
      <c r="FV4" s="58"/>
      <c r="FW4" s="58"/>
      <c r="FX4" s="58"/>
      <c r="FY4" s="58"/>
      <c r="FZ4" s="58"/>
      <c r="GA4" s="58"/>
      <c r="GB4" s="58"/>
      <c r="GC4" s="58"/>
      <c r="GD4" s="58"/>
      <c r="GE4" s="58"/>
      <c r="GF4" s="58"/>
      <c r="GG4" s="58"/>
      <c r="GH4" s="58"/>
      <c r="GI4" s="58"/>
    </row>
    <row r="5" spans="1:326" s="30" customFormat="1" ht="15" thickBot="1" x14ac:dyDescent="0.35">
      <c r="A5" s="154" t="s">
        <v>664</v>
      </c>
      <c r="B5" s="154" t="s">
        <v>52</v>
      </c>
      <c r="C5" s="154" t="s">
        <v>14</v>
      </c>
      <c r="E5" s="58"/>
      <c r="F5" s="58"/>
      <c r="G5" s="58"/>
      <c r="H5" s="58"/>
      <c r="I5" s="58"/>
      <c r="J5" s="58"/>
      <c r="K5" s="58"/>
      <c r="L5" s="58"/>
      <c r="M5" s="58"/>
      <c r="N5" s="58"/>
      <c r="O5" s="58"/>
      <c r="P5" s="58"/>
      <c r="Q5" s="58"/>
      <c r="R5" s="58"/>
      <c r="S5" s="58"/>
      <c r="T5" s="58"/>
      <c r="U5" s="58"/>
      <c r="V5" s="68"/>
      <c r="W5" s="66"/>
      <c r="X5" s="66"/>
      <c r="Y5" s="66"/>
      <c r="Z5" s="66"/>
      <c r="AA5" s="66"/>
      <c r="AB5" s="67"/>
      <c r="AC5" s="58"/>
      <c r="AD5" s="58"/>
      <c r="AE5" s="58"/>
      <c r="AF5" s="153"/>
      <c r="AG5" s="153"/>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c r="BS5" s="155"/>
      <c r="BT5" s="58"/>
      <c r="BU5" s="58"/>
      <c r="BV5" s="58"/>
      <c r="BW5" s="58"/>
      <c r="BX5" s="58"/>
      <c r="BY5" s="58"/>
      <c r="BZ5" s="58"/>
      <c r="CA5" s="58"/>
      <c r="CB5" s="58"/>
      <c r="CC5" s="68"/>
      <c r="CD5" s="66"/>
      <c r="CE5" s="66"/>
      <c r="CF5" s="66"/>
      <c r="CG5" s="67"/>
      <c r="CH5" s="58"/>
      <c r="CI5" s="58"/>
      <c r="CJ5" s="58"/>
      <c r="CK5" s="58"/>
      <c r="CL5" s="58"/>
      <c r="CM5" s="58"/>
      <c r="CN5" s="58"/>
      <c r="CO5" s="58"/>
      <c r="CP5" s="58"/>
      <c r="CQ5" s="58"/>
      <c r="CR5" s="58"/>
      <c r="CS5" s="58"/>
      <c r="CT5" s="58"/>
      <c r="CU5" s="58"/>
      <c r="CV5" s="58"/>
      <c r="CW5" s="58"/>
      <c r="CX5" s="58"/>
      <c r="CY5" s="58"/>
      <c r="CZ5" s="58"/>
      <c r="DA5" s="58"/>
      <c r="DB5" s="58"/>
      <c r="DC5" s="58"/>
      <c r="DD5" s="58"/>
      <c r="DE5" s="58"/>
      <c r="DF5" s="58"/>
      <c r="DG5" s="58"/>
      <c r="DH5" s="58"/>
      <c r="DI5" s="58"/>
      <c r="DJ5" s="58"/>
      <c r="DK5" s="58"/>
      <c r="DL5" s="58"/>
      <c r="DM5" s="58"/>
      <c r="DN5" s="58"/>
      <c r="DO5" s="58"/>
      <c r="GX5" s="58"/>
      <c r="GY5" s="58"/>
      <c r="GZ5" s="58"/>
      <c r="HA5" s="58"/>
      <c r="HB5" s="58"/>
      <c r="HC5" s="58"/>
      <c r="HD5" s="58"/>
      <c r="HE5" s="58"/>
      <c r="HF5" s="58"/>
      <c r="HG5" s="58"/>
      <c r="HH5" s="58"/>
      <c r="HI5" s="58"/>
      <c r="HJ5" s="58"/>
      <c r="HK5" s="58"/>
      <c r="HL5" s="58"/>
      <c r="HM5" s="58"/>
      <c r="HN5" s="58"/>
      <c r="HO5" s="58"/>
      <c r="HP5" s="58"/>
      <c r="HQ5" s="58"/>
      <c r="HR5" s="58"/>
      <c r="HS5" s="58"/>
      <c r="HT5" s="58"/>
      <c r="HU5" s="58"/>
      <c r="HV5" s="58"/>
      <c r="HW5" s="58"/>
      <c r="HX5" s="58"/>
      <c r="HY5" s="58"/>
      <c r="HZ5" s="58"/>
      <c r="IA5" s="58"/>
      <c r="IB5" s="58"/>
      <c r="IC5" s="58"/>
      <c r="ID5" s="58"/>
      <c r="IE5" s="58"/>
      <c r="IF5" s="58"/>
      <c r="IG5" s="58"/>
      <c r="IH5" s="58"/>
      <c r="II5" s="58"/>
      <c r="IJ5" s="58"/>
      <c r="IK5" s="58"/>
      <c r="IL5" s="58"/>
      <c r="IM5" s="58"/>
      <c r="IN5" s="58"/>
      <c r="IO5" s="58"/>
      <c r="IP5" s="58"/>
      <c r="IQ5" s="58"/>
      <c r="IR5" s="58"/>
      <c r="IS5" s="58"/>
      <c r="IT5" s="58"/>
      <c r="IU5" s="58"/>
      <c r="IV5" s="58"/>
      <c r="IW5" s="58"/>
      <c r="IX5" s="58"/>
      <c r="IY5" s="58"/>
      <c r="IZ5" s="58"/>
      <c r="JA5" s="58"/>
      <c r="JB5" s="58"/>
      <c r="JC5" s="58"/>
      <c r="JD5" s="58"/>
      <c r="JE5" s="58"/>
      <c r="JF5" s="58"/>
      <c r="JG5" s="58"/>
      <c r="JH5" s="58"/>
      <c r="JI5" s="58"/>
      <c r="JJ5" s="58"/>
      <c r="JK5" s="58"/>
      <c r="JL5" s="58"/>
      <c r="JM5" s="58"/>
      <c r="JN5" s="58"/>
      <c r="JO5" s="58"/>
      <c r="JP5" s="58"/>
      <c r="JQ5" s="58"/>
      <c r="JR5" s="58"/>
      <c r="JS5" s="58"/>
      <c r="JT5" s="58"/>
      <c r="JU5" s="58"/>
      <c r="JV5" s="58"/>
      <c r="JW5" s="58"/>
      <c r="JX5" s="58"/>
      <c r="JY5" s="58"/>
      <c r="JZ5" s="58"/>
      <c r="KA5" s="58"/>
      <c r="KB5" s="58"/>
      <c r="KC5" s="58"/>
      <c r="KD5" s="58"/>
      <c r="KE5" s="58"/>
      <c r="KF5" s="58"/>
      <c r="KG5" s="58"/>
      <c r="KH5" s="58"/>
    </row>
    <row r="6" spans="1:326" s="30" customFormat="1" ht="15" thickBot="1" x14ac:dyDescent="0.35">
      <c r="A6" s="37" t="s">
        <v>664</v>
      </c>
      <c r="B6" s="37" t="s">
        <v>81</v>
      </c>
      <c r="C6" s="37" t="s">
        <v>10</v>
      </c>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48"/>
      <c r="BJ6" s="148"/>
      <c r="BK6" s="148"/>
      <c r="BL6" s="148"/>
      <c r="BM6" s="148"/>
      <c r="BN6" s="148"/>
      <c r="BO6" s="148"/>
      <c r="BP6" s="148"/>
      <c r="BQ6" s="148"/>
      <c r="BR6" s="148"/>
      <c r="BS6" s="74"/>
      <c r="BT6" s="74"/>
      <c r="BU6" s="74"/>
      <c r="BV6" s="74"/>
      <c r="BW6" s="74"/>
      <c r="BX6" s="74"/>
      <c r="BY6" s="74"/>
      <c r="BZ6" s="74"/>
      <c r="CA6" s="74"/>
      <c r="CB6" s="74"/>
      <c r="CC6" s="74"/>
      <c r="CD6" s="74"/>
      <c r="CE6" s="74"/>
      <c r="CF6" s="161"/>
      <c r="CG6" s="66"/>
      <c r="CH6" s="66"/>
      <c r="CI6" s="66"/>
      <c r="CJ6" s="66"/>
      <c r="CK6" s="66"/>
      <c r="CL6" s="66"/>
      <c r="CM6" s="66"/>
      <c r="CN6" s="67"/>
      <c r="CO6" s="58"/>
      <c r="CP6" s="58"/>
      <c r="CQ6" s="58"/>
      <c r="CR6" s="58"/>
      <c r="CS6" s="58"/>
      <c r="CT6" s="58"/>
      <c r="CU6" s="58"/>
      <c r="CV6" s="58"/>
      <c r="CW6" s="58"/>
      <c r="CX6" s="58"/>
      <c r="CY6" s="58"/>
      <c r="CZ6" s="58"/>
      <c r="DA6" s="58"/>
      <c r="DB6" s="58"/>
      <c r="DC6" s="58"/>
      <c r="DD6" s="58"/>
      <c r="DE6" s="58"/>
      <c r="DF6" s="58"/>
      <c r="DG6" s="58"/>
      <c r="DH6" s="58"/>
      <c r="DI6" s="58"/>
      <c r="DJ6" s="58"/>
      <c r="DK6" s="58"/>
      <c r="DL6" s="58"/>
      <c r="DM6" s="58"/>
      <c r="DN6" s="58"/>
      <c r="DO6" s="58"/>
      <c r="DP6" s="58"/>
      <c r="DQ6" s="58"/>
      <c r="DR6" s="58"/>
      <c r="DS6" s="58"/>
      <c r="DT6" s="58"/>
      <c r="DU6" s="58"/>
      <c r="DV6" s="58"/>
      <c r="DW6" s="58"/>
      <c r="DX6" s="58"/>
      <c r="DY6" s="58"/>
      <c r="DZ6" s="58"/>
      <c r="EA6" s="58"/>
      <c r="EB6" s="58"/>
      <c r="EC6" s="58"/>
      <c r="ED6" s="58"/>
      <c r="EE6" s="58"/>
      <c r="EF6" s="58"/>
      <c r="EG6" s="58"/>
      <c r="EH6" s="58"/>
      <c r="EI6" s="58"/>
      <c r="EJ6" s="58"/>
      <c r="EK6" s="58"/>
      <c r="EL6" s="58"/>
      <c r="EM6" s="58"/>
      <c r="EN6" s="58"/>
      <c r="EO6" s="58"/>
      <c r="EP6" s="58"/>
      <c r="EQ6" s="58"/>
      <c r="ER6" s="58"/>
      <c r="ES6" s="58"/>
      <c r="ET6" s="58"/>
      <c r="EU6" s="58"/>
      <c r="EV6" s="58"/>
      <c r="EW6" s="58"/>
      <c r="EX6" s="58"/>
      <c r="EY6" s="58"/>
      <c r="EZ6" s="58"/>
      <c r="FA6" s="58"/>
      <c r="FB6" s="58"/>
      <c r="FC6" s="58"/>
      <c r="FD6" s="58"/>
      <c r="FE6" s="58"/>
      <c r="FF6" s="58"/>
      <c r="FG6" s="58"/>
      <c r="FH6" s="58"/>
      <c r="FI6" s="58"/>
      <c r="FJ6" s="58"/>
      <c r="FK6" s="58"/>
      <c r="FL6" s="58"/>
      <c r="FM6" s="58"/>
      <c r="FN6" s="58"/>
      <c r="FO6" s="58"/>
      <c r="FP6" s="58"/>
      <c r="FQ6" s="58"/>
      <c r="FR6" s="58"/>
      <c r="FS6" s="58"/>
      <c r="FT6" s="58"/>
      <c r="FU6" s="58"/>
      <c r="FV6" s="58"/>
      <c r="FW6" s="58"/>
      <c r="FX6" s="58"/>
      <c r="FY6" s="58"/>
      <c r="FZ6" s="58"/>
      <c r="GA6" s="58"/>
      <c r="GB6" s="58"/>
      <c r="GC6" s="58"/>
      <c r="GD6" s="58"/>
      <c r="GE6" s="58"/>
      <c r="GF6" s="58"/>
      <c r="GG6" s="58"/>
      <c r="GH6" s="58"/>
      <c r="GI6" s="58"/>
      <c r="GJ6" s="58"/>
      <c r="GK6" s="58"/>
      <c r="GL6" s="58"/>
      <c r="GM6" s="58"/>
      <c r="GN6" s="58"/>
      <c r="GO6" s="58"/>
      <c r="GP6" s="58"/>
      <c r="GQ6" s="58"/>
      <c r="GR6" s="58"/>
      <c r="GS6" s="58"/>
      <c r="GT6" s="58"/>
      <c r="GU6" s="58"/>
      <c r="GV6" s="58"/>
      <c r="GW6" s="58"/>
      <c r="GX6" s="58"/>
      <c r="GY6" s="58"/>
      <c r="GZ6" s="58"/>
      <c r="HA6" s="58"/>
      <c r="HB6" s="58"/>
      <c r="HC6" s="58"/>
      <c r="HD6" s="58"/>
      <c r="HE6" s="58"/>
      <c r="HF6" s="58"/>
      <c r="HG6" s="58"/>
      <c r="HH6" s="58"/>
      <c r="HI6" s="58"/>
      <c r="HJ6" s="58"/>
      <c r="HK6" s="58"/>
      <c r="HL6" s="58"/>
      <c r="HM6" s="58"/>
      <c r="HN6" s="58"/>
      <c r="HO6" s="58"/>
      <c r="HP6" s="58"/>
      <c r="HQ6" s="58"/>
      <c r="HR6" s="58"/>
      <c r="HS6" s="58"/>
      <c r="HT6" s="58"/>
      <c r="HU6" s="58"/>
      <c r="HV6" s="58"/>
      <c r="HW6" s="58"/>
      <c r="HX6" s="58"/>
      <c r="HY6" s="58"/>
      <c r="HZ6" s="58"/>
      <c r="IA6" s="58"/>
      <c r="IB6" s="58"/>
      <c r="IC6" s="58"/>
      <c r="ID6" s="58"/>
      <c r="IE6" s="58"/>
      <c r="IF6" s="58"/>
      <c r="IG6" s="58"/>
      <c r="IH6" s="58"/>
      <c r="II6" s="58"/>
      <c r="IJ6" s="58"/>
      <c r="IK6" s="58"/>
      <c r="IL6" s="58"/>
      <c r="IM6" s="58"/>
    </row>
    <row r="7" spans="1:326" s="30" customFormat="1" x14ac:dyDescent="0.3">
      <c r="A7" s="76" t="s">
        <v>664</v>
      </c>
      <c r="B7" s="76" t="s">
        <v>90</v>
      </c>
      <c r="C7" s="76" t="s">
        <v>29</v>
      </c>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75"/>
      <c r="CZ7" s="75"/>
      <c r="DA7" s="75"/>
      <c r="DB7" s="75"/>
      <c r="DC7" s="75"/>
      <c r="DD7" s="75"/>
      <c r="DE7" s="75"/>
      <c r="DF7" s="75"/>
      <c r="DG7" s="75"/>
      <c r="DH7" s="75"/>
      <c r="DI7" s="75"/>
      <c r="DJ7" s="75"/>
      <c r="DK7" s="75"/>
      <c r="DL7" s="75"/>
      <c r="DM7" s="75"/>
      <c r="DN7" s="75"/>
      <c r="DO7" s="75"/>
      <c r="DP7" s="75"/>
      <c r="DQ7" s="75"/>
      <c r="DR7" s="75"/>
      <c r="DS7" s="75"/>
      <c r="DT7" s="75"/>
      <c r="DU7" s="75"/>
      <c r="DV7" s="75"/>
      <c r="DW7" s="75"/>
      <c r="DX7" s="75"/>
      <c r="DY7" s="75"/>
      <c r="DZ7" s="75"/>
      <c r="EA7" s="75"/>
      <c r="EB7" s="75"/>
      <c r="EC7" s="75"/>
      <c r="ED7" s="75"/>
      <c r="EE7" s="75"/>
      <c r="EF7" s="75"/>
      <c r="EG7" s="75"/>
      <c r="EH7" s="58"/>
      <c r="EI7" s="58"/>
      <c r="EJ7" s="58"/>
      <c r="EK7" s="58"/>
      <c r="EL7" s="58"/>
      <c r="EM7" s="58"/>
      <c r="EN7" s="58"/>
      <c r="EO7" s="58"/>
      <c r="EP7" s="58"/>
      <c r="EQ7" s="58"/>
      <c r="ER7" s="58"/>
      <c r="ES7" s="58"/>
      <c r="ET7" s="58"/>
      <c r="EU7" s="58"/>
      <c r="EV7" s="58"/>
      <c r="EW7" s="58"/>
      <c r="EX7" s="58"/>
      <c r="EY7" s="58"/>
      <c r="EZ7" s="58"/>
      <c r="FA7" s="58"/>
      <c r="FB7" s="58"/>
      <c r="FC7" s="58"/>
      <c r="FD7" s="58"/>
      <c r="FE7" s="58"/>
      <c r="FF7" s="58"/>
      <c r="FG7" s="58"/>
      <c r="FH7" s="58"/>
      <c r="FI7" s="58"/>
      <c r="FJ7" s="58"/>
      <c r="FK7" s="58"/>
      <c r="FL7" s="58"/>
      <c r="FM7" s="58"/>
      <c r="FN7" s="58"/>
      <c r="FO7" s="58"/>
      <c r="FP7" s="58"/>
      <c r="FQ7" s="58"/>
      <c r="FR7" s="58"/>
      <c r="FS7" s="58"/>
      <c r="FT7" s="58"/>
      <c r="FU7" s="58"/>
      <c r="FV7" s="58"/>
      <c r="FW7" s="58"/>
      <c r="FX7" s="58"/>
      <c r="FY7" s="58"/>
      <c r="FZ7" s="58"/>
      <c r="GA7" s="58"/>
      <c r="GB7" s="58"/>
      <c r="GC7" s="58"/>
      <c r="GD7" s="58"/>
      <c r="GE7" s="58"/>
      <c r="GF7" s="58"/>
      <c r="GG7" s="58"/>
      <c r="GH7" s="58"/>
      <c r="GI7" s="58"/>
      <c r="GJ7" s="58"/>
      <c r="GK7" s="58"/>
      <c r="GL7" s="58"/>
      <c r="GM7" s="58"/>
      <c r="GN7" s="58"/>
      <c r="GO7" s="58"/>
      <c r="GP7" s="58"/>
      <c r="GQ7" s="58"/>
      <c r="GR7" s="58"/>
      <c r="GS7" s="58"/>
      <c r="GT7" s="58"/>
      <c r="GU7" s="58"/>
      <c r="GV7" s="58"/>
      <c r="GW7" s="58"/>
      <c r="GX7" s="58"/>
      <c r="GY7" s="58"/>
      <c r="GZ7" s="58"/>
      <c r="HA7" s="58"/>
      <c r="HB7" s="58"/>
      <c r="HC7" s="58"/>
      <c r="HD7" s="58"/>
      <c r="HE7" s="58"/>
      <c r="HF7" s="58"/>
      <c r="HG7" s="58"/>
      <c r="HH7" s="58"/>
      <c r="HI7" s="58"/>
      <c r="HJ7" s="58"/>
      <c r="HK7" s="58"/>
      <c r="HL7" s="58"/>
      <c r="HM7" s="58"/>
      <c r="HN7" s="58"/>
      <c r="HO7" s="58"/>
      <c r="HP7" s="58"/>
      <c r="HQ7" s="58"/>
      <c r="HR7" s="58"/>
      <c r="HS7" s="58"/>
      <c r="HT7" s="58"/>
      <c r="HU7" s="58"/>
      <c r="HV7" s="58"/>
      <c r="HW7" s="58"/>
      <c r="HX7" s="58"/>
      <c r="HY7" s="58"/>
      <c r="HZ7" s="58"/>
      <c r="IA7" s="58"/>
      <c r="IB7" s="58"/>
      <c r="IC7" s="58"/>
      <c r="ID7" s="58"/>
      <c r="IE7" s="58"/>
      <c r="IF7" s="58"/>
      <c r="IG7" s="58"/>
      <c r="IH7" s="58"/>
      <c r="II7" s="58"/>
      <c r="IJ7" s="58"/>
      <c r="IK7" s="58"/>
      <c r="IL7" s="58"/>
      <c r="IM7" s="58"/>
      <c r="IN7" s="58"/>
      <c r="IO7" s="58"/>
      <c r="IP7" s="58"/>
      <c r="IQ7" s="58"/>
      <c r="IR7" s="58"/>
      <c r="IS7" s="58"/>
      <c r="IT7" s="58"/>
      <c r="IU7" s="58"/>
      <c r="IV7" s="58"/>
      <c r="IW7" s="58"/>
      <c r="IX7" s="58"/>
      <c r="IY7" s="58"/>
      <c r="IZ7" s="58"/>
      <c r="JA7" s="58"/>
      <c r="JB7" s="58"/>
      <c r="JC7" s="58"/>
      <c r="JD7" s="58"/>
      <c r="JE7" s="58"/>
      <c r="JF7" s="58"/>
      <c r="JG7" s="58"/>
      <c r="JH7" s="58"/>
      <c r="JI7" s="58"/>
      <c r="JJ7" s="58"/>
      <c r="JK7" s="58"/>
      <c r="JL7" s="58"/>
      <c r="JM7" s="58"/>
      <c r="JN7" s="58"/>
      <c r="JO7" s="58"/>
      <c r="JP7" s="58"/>
      <c r="JQ7" s="58"/>
      <c r="JR7" s="58"/>
      <c r="JS7" s="58"/>
      <c r="JT7" s="58"/>
      <c r="JU7" s="58"/>
      <c r="JV7" s="58"/>
      <c r="JW7" s="58"/>
      <c r="JX7" s="58"/>
      <c r="JY7" s="58"/>
      <c r="JZ7" s="58"/>
      <c r="KA7" s="58"/>
    </row>
    <row r="8" spans="1:326" s="30" customFormat="1" x14ac:dyDescent="0.3">
      <c r="A8" s="76" t="s">
        <v>664</v>
      </c>
      <c r="B8" s="76" t="s">
        <v>55</v>
      </c>
      <c r="C8" s="76" t="s">
        <v>29</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c r="BA8" s="58"/>
      <c r="BB8" s="58"/>
      <c r="BC8" s="58"/>
      <c r="BD8" s="58"/>
      <c r="BE8" s="58"/>
      <c r="BF8" s="58"/>
      <c r="BG8" s="58"/>
      <c r="BH8" s="58"/>
      <c r="BI8" s="58"/>
      <c r="BJ8" s="58"/>
      <c r="BK8" s="58"/>
      <c r="BL8" s="58"/>
      <c r="BM8" s="58"/>
      <c r="BN8" s="58"/>
      <c r="BO8" s="58"/>
      <c r="BP8" s="58"/>
      <c r="BQ8" s="58"/>
      <c r="BR8" s="58"/>
      <c r="BS8" s="58"/>
      <c r="BT8" s="58"/>
      <c r="BU8" s="58"/>
      <c r="BV8" s="58"/>
      <c r="BW8" s="58"/>
      <c r="BX8" s="58"/>
      <c r="BY8" s="58"/>
      <c r="BZ8" s="58"/>
      <c r="CA8" s="58"/>
      <c r="CB8" s="58"/>
      <c r="CC8" s="58"/>
      <c r="CD8" s="58"/>
      <c r="CE8" s="58"/>
      <c r="CF8" s="58"/>
      <c r="CG8" s="58"/>
      <c r="CH8" s="58"/>
      <c r="CI8" s="58"/>
      <c r="CJ8" s="58"/>
      <c r="CK8" s="58"/>
      <c r="CL8" s="58"/>
      <c r="CM8" s="58"/>
      <c r="CN8" s="58"/>
      <c r="CO8" s="58"/>
      <c r="CP8" s="58"/>
      <c r="CQ8" s="58"/>
      <c r="CR8" s="58"/>
      <c r="CS8" s="58"/>
      <c r="CT8" s="58"/>
      <c r="CU8" s="58"/>
      <c r="CV8" s="58"/>
      <c r="CW8" s="58"/>
      <c r="CX8" s="58"/>
      <c r="CY8" s="58"/>
      <c r="CZ8" s="58"/>
      <c r="DA8" s="58"/>
      <c r="DB8" s="58"/>
      <c r="DC8" s="58"/>
      <c r="DD8" s="58"/>
      <c r="DE8" s="58"/>
      <c r="DF8" s="58"/>
      <c r="DG8" s="58"/>
      <c r="DH8" s="58"/>
      <c r="DI8" s="58"/>
      <c r="DJ8" s="58"/>
      <c r="DK8" s="58"/>
      <c r="DL8" s="58"/>
      <c r="DM8" s="58"/>
      <c r="DN8" s="58"/>
      <c r="DO8" s="58"/>
      <c r="DP8" s="58"/>
      <c r="DQ8" s="58"/>
      <c r="DR8" s="58"/>
      <c r="DS8" s="58"/>
      <c r="DT8" s="58"/>
      <c r="DU8" s="58"/>
      <c r="DV8" s="58"/>
      <c r="DW8" s="58"/>
      <c r="DX8" s="58"/>
      <c r="DY8" s="58"/>
      <c r="DZ8" s="58"/>
      <c r="EA8" s="58"/>
      <c r="EB8" s="58"/>
      <c r="EC8" s="58"/>
      <c r="ED8" s="58"/>
      <c r="EE8" s="58"/>
      <c r="EF8" s="58"/>
      <c r="EG8" s="58"/>
      <c r="EH8" s="58"/>
      <c r="EI8" s="58"/>
      <c r="EJ8" s="58"/>
      <c r="EK8" s="58"/>
      <c r="EL8" s="58"/>
      <c r="EM8" s="58"/>
      <c r="EN8" s="75"/>
      <c r="EO8" s="75"/>
      <c r="EP8" s="75"/>
      <c r="EQ8" s="75"/>
      <c r="ER8" s="75"/>
      <c r="ES8" s="75"/>
      <c r="ET8" s="75"/>
      <c r="EU8" s="75"/>
      <c r="EV8" s="75"/>
      <c r="EW8" s="75"/>
      <c r="EX8" s="75"/>
      <c r="EY8" s="75"/>
      <c r="EZ8" s="75"/>
      <c r="FA8" s="75"/>
      <c r="FB8" s="75"/>
      <c r="FC8" s="75"/>
      <c r="FD8" s="75"/>
      <c r="FE8" s="75"/>
      <c r="FF8" s="75"/>
      <c r="FG8" s="75"/>
      <c r="FH8" s="75"/>
      <c r="FI8" s="75"/>
      <c r="FJ8" s="75"/>
      <c r="FK8" s="75"/>
      <c r="FL8" s="75"/>
      <c r="FM8" s="75"/>
      <c r="FN8" s="75"/>
      <c r="FO8" s="75"/>
      <c r="FP8" s="75"/>
      <c r="FQ8" s="75"/>
      <c r="FR8" s="58"/>
      <c r="FS8" s="58"/>
      <c r="FT8" s="58"/>
      <c r="FU8" s="58"/>
      <c r="FV8" s="58"/>
      <c r="FW8" s="58"/>
      <c r="FX8" s="58"/>
      <c r="FY8" s="58"/>
      <c r="FZ8" s="58"/>
      <c r="GA8" s="58"/>
      <c r="GB8" s="58"/>
      <c r="GC8" s="58"/>
      <c r="GD8" s="58"/>
      <c r="GE8" s="58"/>
      <c r="GF8" s="58"/>
      <c r="GG8" s="58"/>
      <c r="GH8" s="58"/>
      <c r="GI8" s="58"/>
      <c r="GJ8" s="58"/>
      <c r="GK8" s="58"/>
      <c r="GL8" s="58"/>
      <c r="GM8" s="58"/>
      <c r="GN8" s="58"/>
      <c r="GO8" s="58"/>
      <c r="GP8" s="58"/>
      <c r="GQ8" s="58"/>
      <c r="GR8" s="58"/>
      <c r="GS8" s="58"/>
      <c r="GT8" s="58"/>
      <c r="GU8" s="58"/>
      <c r="GV8" s="58"/>
      <c r="GW8" s="58"/>
      <c r="GX8" s="58"/>
      <c r="GY8" s="58"/>
      <c r="GZ8" s="58"/>
      <c r="HA8" s="58"/>
      <c r="HB8" s="58"/>
      <c r="HC8" s="58"/>
      <c r="HD8" s="58"/>
      <c r="HE8" s="58"/>
      <c r="HF8" s="58"/>
      <c r="HG8" s="58"/>
      <c r="HH8" s="58"/>
      <c r="HI8" s="58"/>
      <c r="HJ8" s="58"/>
      <c r="HK8" s="58"/>
      <c r="HL8" s="58"/>
      <c r="HM8" s="58"/>
      <c r="HN8" s="58"/>
      <c r="HO8" s="58"/>
      <c r="HP8" s="58"/>
      <c r="HQ8" s="58"/>
      <c r="HR8" s="58"/>
      <c r="HS8" s="58"/>
      <c r="HT8" s="58"/>
      <c r="HU8" s="58"/>
      <c r="HV8" s="58"/>
      <c r="HW8" s="58"/>
      <c r="HX8" s="58"/>
      <c r="HY8" s="58"/>
      <c r="HZ8" s="58"/>
      <c r="IA8" s="58"/>
      <c r="IB8" s="58"/>
      <c r="IC8" s="58"/>
      <c r="ID8" s="58"/>
      <c r="IE8" s="58"/>
      <c r="IF8" s="58"/>
      <c r="IG8" s="58"/>
      <c r="IH8" s="58"/>
      <c r="II8" s="58"/>
      <c r="IJ8" s="58"/>
      <c r="IK8" s="58"/>
      <c r="IL8" s="58"/>
      <c r="IM8" s="58"/>
    </row>
    <row r="9" spans="1:326" s="30" customFormat="1" x14ac:dyDescent="0.3">
      <c r="A9" s="20" t="s">
        <v>664</v>
      </c>
      <c r="B9" s="20" t="s">
        <v>371</v>
      </c>
      <c r="C9" s="20" t="s">
        <v>27</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c r="AX9" s="58"/>
      <c r="AY9" s="58"/>
      <c r="AZ9" s="58"/>
      <c r="BA9" s="58"/>
      <c r="BB9" s="58"/>
      <c r="BC9" s="58"/>
      <c r="BD9" s="58"/>
      <c r="BE9" s="58"/>
      <c r="BF9" s="58"/>
      <c r="BG9" s="58"/>
      <c r="BH9" s="58"/>
      <c r="BI9" s="58"/>
      <c r="BJ9" s="58"/>
      <c r="BK9" s="58"/>
      <c r="BL9" s="58"/>
      <c r="BM9" s="58"/>
      <c r="BN9" s="58"/>
      <c r="BO9" s="58"/>
      <c r="BP9" s="58"/>
      <c r="BQ9" s="58"/>
      <c r="BR9" s="58"/>
      <c r="BS9" s="58"/>
      <c r="BT9" s="58"/>
      <c r="BU9" s="58"/>
      <c r="BV9" s="58"/>
      <c r="BW9" s="58"/>
      <c r="BX9" s="58"/>
      <c r="BY9" s="58"/>
      <c r="BZ9" s="58"/>
      <c r="CA9" s="58"/>
      <c r="CB9" s="58"/>
      <c r="CC9" s="58"/>
      <c r="CD9" s="58"/>
      <c r="CE9" s="58"/>
      <c r="CF9" s="58"/>
      <c r="CG9" s="58"/>
      <c r="CH9" s="58"/>
      <c r="CI9" s="58"/>
      <c r="CJ9" s="58"/>
      <c r="CK9" s="58"/>
      <c r="CL9" s="58"/>
      <c r="CM9" s="58"/>
      <c r="CN9" s="58"/>
      <c r="CO9" s="58"/>
      <c r="CP9" s="58"/>
      <c r="CQ9" s="58"/>
      <c r="CR9" s="58"/>
      <c r="CS9" s="58"/>
      <c r="CT9" s="58"/>
      <c r="CU9" s="58"/>
      <c r="CV9" s="58"/>
      <c r="CW9" s="58"/>
      <c r="CX9" s="58"/>
      <c r="CY9" s="58"/>
      <c r="CZ9" s="58"/>
      <c r="DA9" s="58"/>
      <c r="DB9" s="58"/>
      <c r="DC9" s="58"/>
      <c r="DD9" s="58"/>
      <c r="DE9" s="58"/>
      <c r="DF9" s="58"/>
      <c r="DG9" s="58"/>
      <c r="DH9" s="58"/>
      <c r="DI9" s="58"/>
      <c r="DJ9" s="58"/>
      <c r="DK9" s="58"/>
      <c r="DL9" s="58"/>
      <c r="DM9" s="58"/>
      <c r="DN9" s="58"/>
      <c r="DO9" s="58"/>
      <c r="DP9" s="58"/>
      <c r="DQ9" s="58"/>
      <c r="DR9" s="58"/>
      <c r="DS9" s="58"/>
      <c r="DT9" s="58"/>
      <c r="DU9" s="58"/>
      <c r="DV9" s="58"/>
      <c r="DW9" s="58"/>
      <c r="DX9" s="58"/>
      <c r="DY9" s="58"/>
      <c r="DZ9" s="58"/>
      <c r="EA9" s="70"/>
      <c r="EB9" s="70"/>
      <c r="EC9" s="70"/>
      <c r="ED9" s="70"/>
      <c r="EE9" s="70"/>
      <c r="EF9" s="70"/>
      <c r="EG9" s="70"/>
      <c r="EI9" s="58"/>
      <c r="EJ9" s="58"/>
      <c r="EK9" s="58"/>
      <c r="EL9" s="58"/>
      <c r="EM9" s="58"/>
      <c r="EN9" s="58"/>
      <c r="EO9" s="58"/>
      <c r="EP9" s="58"/>
      <c r="EQ9" s="58"/>
      <c r="ER9" s="58"/>
      <c r="ES9" s="58"/>
      <c r="ET9" s="58"/>
      <c r="EU9" s="58"/>
      <c r="EV9" s="58"/>
      <c r="EW9" s="58"/>
      <c r="EX9" s="58"/>
      <c r="EY9" s="58"/>
      <c r="EZ9" s="58"/>
      <c r="FA9" s="58"/>
      <c r="FB9" s="58"/>
      <c r="FC9" s="58"/>
      <c r="FD9" s="58"/>
      <c r="FE9" s="58"/>
      <c r="FF9" s="58"/>
      <c r="FG9" s="58"/>
      <c r="FH9" s="58"/>
      <c r="FI9" s="58"/>
      <c r="FJ9" s="58"/>
      <c r="FK9" s="58"/>
      <c r="FL9" s="58"/>
      <c r="FM9" s="58"/>
      <c r="FN9" s="58"/>
      <c r="FO9" s="56"/>
      <c r="FP9" s="56"/>
      <c r="FQ9" s="58"/>
      <c r="FR9" s="58"/>
      <c r="FS9" s="58"/>
      <c r="FT9" s="58"/>
      <c r="FU9" s="58"/>
      <c r="FV9" s="58"/>
      <c r="FW9" s="58"/>
      <c r="FX9" s="58"/>
      <c r="FY9" s="58"/>
      <c r="FZ9" s="58"/>
      <c r="GA9" s="58"/>
      <c r="GB9" s="58"/>
      <c r="GC9" s="58"/>
      <c r="GD9" s="58"/>
      <c r="GE9" s="58"/>
      <c r="GF9" s="58"/>
      <c r="GG9" s="58"/>
      <c r="GH9" s="58"/>
      <c r="GI9" s="58"/>
      <c r="GJ9" s="58"/>
      <c r="GK9" s="58"/>
      <c r="GL9" s="58"/>
      <c r="GM9" s="58"/>
      <c r="GN9" s="58"/>
      <c r="GO9" s="58"/>
      <c r="GP9" s="58"/>
      <c r="GQ9" s="58"/>
      <c r="GR9" s="58"/>
      <c r="GS9" s="58"/>
      <c r="GT9" s="58"/>
      <c r="GU9" s="58"/>
      <c r="GV9" s="58"/>
      <c r="GW9" s="58"/>
      <c r="GX9" s="58"/>
      <c r="GY9" s="58"/>
      <c r="GZ9" s="58"/>
      <c r="HA9" s="58"/>
      <c r="HB9" s="58"/>
      <c r="HC9" s="58"/>
      <c r="HD9" s="58"/>
      <c r="HE9" s="58"/>
      <c r="HF9" s="58"/>
      <c r="HG9" s="58"/>
      <c r="HH9" s="58"/>
      <c r="HI9" s="58"/>
      <c r="HJ9" s="58"/>
      <c r="HK9" s="58"/>
      <c r="HL9" s="58"/>
      <c r="HM9" s="58"/>
      <c r="HN9" s="58"/>
      <c r="HO9" s="58"/>
      <c r="HP9" s="58"/>
      <c r="HQ9" s="58"/>
      <c r="HR9" s="58"/>
      <c r="HS9" s="58"/>
      <c r="HT9" s="58"/>
      <c r="HU9" s="58"/>
      <c r="HV9" s="58"/>
      <c r="HW9" s="58"/>
      <c r="HX9" s="58"/>
      <c r="HY9" s="58"/>
      <c r="HZ9" s="58"/>
      <c r="IA9" s="58"/>
      <c r="IB9" s="58"/>
      <c r="IC9" s="58"/>
      <c r="ID9" s="58"/>
      <c r="IE9" s="58"/>
      <c r="IF9" s="58"/>
    </row>
    <row r="10" spans="1:326" s="30" customFormat="1" ht="15" thickBot="1" x14ac:dyDescent="0.35">
      <c r="A10" s="20" t="s">
        <v>664</v>
      </c>
      <c r="B10" s="20" t="s">
        <v>371</v>
      </c>
      <c r="C10" s="20" t="s">
        <v>27</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CR10" s="58"/>
      <c r="CS10" s="58"/>
      <c r="CT10" s="58"/>
      <c r="CU10" s="58"/>
      <c r="CV10" s="58"/>
      <c r="CW10" s="58"/>
      <c r="CX10" s="58"/>
      <c r="CY10" s="58"/>
      <c r="CZ10" s="58"/>
      <c r="DA10" s="58"/>
      <c r="DB10" s="58"/>
      <c r="DC10" s="58"/>
      <c r="DD10" s="58"/>
      <c r="DE10" s="58"/>
      <c r="DF10" s="58"/>
      <c r="DG10" s="58"/>
      <c r="DH10" s="58"/>
      <c r="DI10" s="58"/>
      <c r="DJ10" s="58"/>
      <c r="DK10" s="58"/>
      <c r="DL10" s="58"/>
      <c r="DM10" s="58"/>
      <c r="DN10" s="58"/>
      <c r="DO10" s="58"/>
      <c r="DP10" s="58"/>
      <c r="DQ10" s="58"/>
      <c r="DR10" s="58"/>
      <c r="DS10" s="58"/>
      <c r="DT10" s="58"/>
      <c r="DU10" s="58"/>
      <c r="DV10" s="58"/>
      <c r="DW10" s="58"/>
      <c r="DX10" s="58"/>
      <c r="DY10" s="56"/>
      <c r="DZ10" s="56"/>
      <c r="EA10" s="56"/>
      <c r="EB10" s="56"/>
      <c r="EC10" s="56"/>
      <c r="ED10" s="56"/>
      <c r="EE10" s="56"/>
      <c r="EF10" s="56"/>
      <c r="EG10" s="56"/>
      <c r="EH10" s="56"/>
      <c r="EI10" s="56"/>
      <c r="EJ10" s="56"/>
      <c r="EK10" s="56"/>
      <c r="EL10" s="56"/>
      <c r="EM10" s="56"/>
      <c r="EN10" s="56"/>
      <c r="EO10" s="58"/>
      <c r="EP10" s="58"/>
      <c r="EQ10" s="58"/>
      <c r="ER10" s="58"/>
      <c r="ES10" s="58"/>
      <c r="ET10" s="58"/>
      <c r="EU10" s="58"/>
      <c r="EV10" s="58"/>
      <c r="EW10" s="58"/>
      <c r="EX10" s="58"/>
      <c r="EY10" s="58"/>
      <c r="EZ10" s="58"/>
      <c r="FA10" s="58"/>
      <c r="FB10" s="58"/>
      <c r="FC10" s="58"/>
      <c r="FD10" s="58"/>
      <c r="FE10" s="58"/>
      <c r="FF10" s="58"/>
      <c r="FG10" s="58"/>
      <c r="FH10" s="58"/>
      <c r="FI10" s="58"/>
      <c r="FJ10" s="58"/>
      <c r="FK10" s="58"/>
      <c r="FL10" s="58"/>
      <c r="FM10" s="58"/>
      <c r="FN10" s="58"/>
      <c r="FO10" s="58"/>
      <c r="FP10" s="70"/>
      <c r="FQ10" s="70"/>
      <c r="FR10" s="70"/>
      <c r="FS10" s="70"/>
      <c r="FT10" s="70"/>
      <c r="FU10" s="70"/>
      <c r="FV10" s="70"/>
      <c r="FW10" s="70"/>
      <c r="FX10" s="58"/>
      <c r="FY10" s="58"/>
      <c r="FZ10" s="58"/>
      <c r="GA10" s="58"/>
      <c r="GB10" s="58"/>
      <c r="GC10" s="58"/>
      <c r="GD10" s="58"/>
      <c r="GE10" s="58"/>
      <c r="GF10" s="58"/>
      <c r="GG10" s="58"/>
      <c r="GH10" s="58"/>
      <c r="GI10" s="58"/>
      <c r="GJ10" s="58"/>
      <c r="GK10" s="58"/>
      <c r="GL10" s="58"/>
      <c r="GM10" s="58"/>
      <c r="GN10" s="58"/>
      <c r="GO10" s="58"/>
      <c r="GP10" s="58"/>
      <c r="GQ10" s="58"/>
      <c r="GR10" s="58"/>
      <c r="GS10" s="58"/>
      <c r="GT10" s="58"/>
      <c r="GU10" s="58"/>
      <c r="GV10" s="58"/>
      <c r="GW10" s="58"/>
      <c r="GX10" s="58"/>
      <c r="GY10" s="58"/>
      <c r="GZ10" s="58"/>
      <c r="HA10" s="58"/>
      <c r="HB10" s="58"/>
      <c r="HC10" s="58"/>
      <c r="HD10" s="58"/>
      <c r="HE10" s="58"/>
      <c r="HF10" s="58"/>
      <c r="HG10" s="58"/>
      <c r="HH10" s="58"/>
      <c r="HI10" s="58"/>
      <c r="HJ10" s="58"/>
      <c r="HK10" s="58"/>
      <c r="HL10" s="58"/>
      <c r="HM10" s="58"/>
      <c r="HN10" s="58"/>
      <c r="HO10" s="58"/>
      <c r="HP10" s="58"/>
      <c r="HQ10" s="58"/>
      <c r="HR10" s="58"/>
      <c r="HS10" s="58"/>
      <c r="HT10" s="58"/>
      <c r="HU10" s="58"/>
      <c r="HV10" s="58"/>
      <c r="HW10" s="58"/>
      <c r="HX10" s="58"/>
      <c r="HY10" s="58"/>
      <c r="HZ10" s="58"/>
      <c r="IA10" s="58"/>
      <c r="IB10" s="58"/>
      <c r="IC10" s="58"/>
      <c r="ID10" s="58"/>
      <c r="IE10" s="58"/>
      <c r="IF10" s="58"/>
    </row>
    <row r="11" spans="1:326" s="30" customFormat="1" ht="15" thickBot="1" x14ac:dyDescent="0.35">
      <c r="A11" s="78" t="s">
        <v>664</v>
      </c>
      <c r="B11" s="78" t="s">
        <v>56</v>
      </c>
      <c r="C11" s="78" t="s">
        <v>25</v>
      </c>
      <c r="E11" s="58"/>
      <c r="F11" s="58"/>
      <c r="G11" s="58"/>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L11" s="84"/>
      <c r="BM11" s="85"/>
      <c r="BN11" s="85"/>
      <c r="BO11" s="85"/>
      <c r="BP11" s="85"/>
      <c r="BQ11" s="85"/>
      <c r="BR11" s="85"/>
      <c r="BS11" s="85"/>
      <c r="BT11" s="85"/>
      <c r="BU11" s="85"/>
      <c r="BV11" s="86"/>
      <c r="DT11" s="58"/>
      <c r="DU11" s="58"/>
      <c r="DV11" s="58"/>
      <c r="DW11" s="58"/>
      <c r="DX11" s="58"/>
      <c r="DY11" s="58"/>
      <c r="DZ11" s="58"/>
      <c r="EA11" s="58"/>
      <c r="EB11" s="58"/>
      <c r="EC11" s="58"/>
      <c r="ED11" s="58"/>
      <c r="EE11" s="58"/>
      <c r="EF11" s="58"/>
      <c r="EG11" s="58"/>
      <c r="EH11" s="79"/>
      <c r="EI11" s="58"/>
      <c r="EJ11" s="58"/>
      <c r="EK11" s="58"/>
      <c r="EL11" s="58"/>
      <c r="EM11" s="58"/>
      <c r="EN11" s="58"/>
      <c r="EO11" s="58"/>
      <c r="EP11" s="58"/>
      <c r="EQ11" s="58"/>
      <c r="ER11" s="58"/>
      <c r="ES11" s="58"/>
      <c r="ET11" s="58"/>
      <c r="EU11" s="58"/>
      <c r="EV11" s="58"/>
      <c r="EW11" s="58"/>
      <c r="EX11" s="58"/>
      <c r="EY11" s="58"/>
      <c r="EZ11" s="58"/>
      <c r="FA11" s="58"/>
      <c r="FB11" s="58"/>
      <c r="FC11" s="58"/>
      <c r="FD11" s="58"/>
      <c r="FE11" s="58"/>
      <c r="FF11" s="58"/>
      <c r="FG11" s="58"/>
      <c r="FH11" s="58"/>
      <c r="FI11" s="58"/>
      <c r="FJ11" s="58"/>
      <c r="FK11" s="58"/>
      <c r="FL11" s="58"/>
      <c r="FM11" s="58"/>
      <c r="FN11" s="58"/>
      <c r="FO11" s="58"/>
      <c r="FP11" s="58"/>
      <c r="FQ11" s="58"/>
      <c r="FR11" s="58"/>
      <c r="FS11" s="58"/>
      <c r="FT11" s="58"/>
      <c r="FU11" s="58"/>
      <c r="FV11" s="58"/>
      <c r="FW11" s="58"/>
      <c r="FX11" s="58"/>
      <c r="FY11" s="58"/>
      <c r="FZ11" s="58"/>
      <c r="GA11" s="58"/>
      <c r="GB11" s="58"/>
      <c r="GC11" s="58"/>
      <c r="GD11" s="58"/>
      <c r="GE11" s="58"/>
      <c r="GF11" s="58"/>
      <c r="GG11" s="58"/>
      <c r="GH11" s="58"/>
      <c r="GI11" s="58"/>
      <c r="KO11" s="84"/>
      <c r="KP11" s="85"/>
      <c r="KQ11" s="85"/>
      <c r="KR11" s="85"/>
      <c r="KS11" s="85"/>
      <c r="KT11" s="85"/>
      <c r="KU11" s="85"/>
      <c r="KV11" s="85"/>
      <c r="KW11" s="86"/>
    </row>
    <row r="12" spans="1:326" s="30" customFormat="1" ht="15" thickBot="1" x14ac:dyDescent="0.35">
      <c r="A12" s="78" t="s">
        <v>664</v>
      </c>
      <c r="B12" s="78" t="s">
        <v>56</v>
      </c>
      <c r="C12" s="78" t="s">
        <v>25</v>
      </c>
      <c r="E12" s="58"/>
      <c r="F12" s="58"/>
      <c r="G12" s="58"/>
      <c r="H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c r="BA12" s="58"/>
      <c r="BB12" s="58"/>
      <c r="BC12" s="58"/>
      <c r="BD12" s="58"/>
      <c r="BE12" s="58"/>
      <c r="BF12" s="58"/>
      <c r="BG12" s="58"/>
      <c r="BH12" s="58"/>
      <c r="BI12" s="58"/>
      <c r="BJ12" s="58"/>
      <c r="BK12" s="58"/>
      <c r="BL12" s="68"/>
      <c r="BM12" s="66"/>
      <c r="BN12" s="66"/>
      <c r="BO12" s="66"/>
      <c r="BP12" s="66"/>
      <c r="BQ12" s="66"/>
      <c r="BR12" s="66"/>
      <c r="BS12" s="66"/>
      <c r="BT12" s="66"/>
      <c r="BU12" s="66"/>
      <c r="BV12" s="67"/>
      <c r="BW12" s="58"/>
      <c r="BX12" s="58"/>
      <c r="BY12" s="58"/>
      <c r="BZ12" s="58"/>
      <c r="CA12" s="58"/>
      <c r="CB12" s="58"/>
      <c r="CC12" s="58"/>
      <c r="CD12" s="58"/>
      <c r="CE12" s="58"/>
      <c r="CF12" s="58"/>
      <c r="CG12" s="58"/>
      <c r="CH12" s="58"/>
      <c r="CI12" s="58"/>
      <c r="CJ12" s="58"/>
      <c r="CK12" s="58"/>
      <c r="CL12" s="58"/>
      <c r="CM12" s="58"/>
      <c r="CN12" s="58"/>
      <c r="CO12" s="58"/>
      <c r="CP12" s="58"/>
      <c r="CQ12" s="58"/>
      <c r="CR12" s="58"/>
      <c r="CS12" s="58"/>
      <c r="CT12" s="58"/>
      <c r="CU12" s="58"/>
      <c r="CV12" s="58"/>
      <c r="CW12" s="58"/>
      <c r="CX12" s="58"/>
      <c r="CY12" s="58"/>
      <c r="CZ12" s="58"/>
      <c r="DA12" s="58"/>
      <c r="DB12" s="58"/>
      <c r="DC12" s="58"/>
      <c r="DD12" s="58"/>
      <c r="DE12" s="58"/>
      <c r="DF12" s="58"/>
      <c r="DG12" s="58"/>
      <c r="DH12" s="58"/>
      <c r="DI12" s="58"/>
      <c r="DJ12" s="58"/>
      <c r="DK12" s="58"/>
      <c r="DL12" s="58"/>
      <c r="DM12" s="58"/>
      <c r="DN12" s="58"/>
      <c r="DO12" s="58"/>
      <c r="DP12" s="58"/>
      <c r="DQ12" s="58"/>
      <c r="DR12" s="58"/>
      <c r="DS12" s="58"/>
      <c r="DT12" s="58"/>
      <c r="DU12" s="58"/>
      <c r="DV12" s="58"/>
      <c r="DW12" s="58"/>
      <c r="DX12" s="58"/>
      <c r="DY12" s="58"/>
      <c r="DZ12" s="58"/>
      <c r="EA12" s="58"/>
      <c r="EB12" s="58"/>
      <c r="EC12" s="58"/>
      <c r="ED12" s="58"/>
      <c r="EE12" s="58"/>
      <c r="EF12" s="58"/>
      <c r="EG12" s="58"/>
      <c r="EH12" s="58"/>
      <c r="EI12" s="58"/>
      <c r="EJ12" s="58"/>
      <c r="EK12" s="58"/>
      <c r="EL12" s="58"/>
      <c r="EM12" s="58"/>
      <c r="EN12" s="58"/>
      <c r="EO12" s="58"/>
      <c r="EP12" s="58"/>
      <c r="EQ12" s="58"/>
      <c r="ER12" s="58"/>
      <c r="ES12" s="58"/>
      <c r="ET12" s="58"/>
      <c r="EU12" s="58"/>
      <c r="EV12" s="58"/>
      <c r="EW12" s="58"/>
      <c r="EX12" s="58"/>
      <c r="EY12" s="58"/>
      <c r="EZ12" s="58"/>
      <c r="FA12" s="58"/>
      <c r="FB12" s="58"/>
      <c r="FC12" s="58"/>
      <c r="FD12" s="58"/>
      <c r="FE12" s="58"/>
      <c r="FF12" s="58"/>
      <c r="FG12" s="58"/>
      <c r="FH12" s="58"/>
      <c r="FI12" s="58"/>
      <c r="FJ12" s="58"/>
      <c r="FK12" s="58"/>
      <c r="FL12" s="58"/>
      <c r="FM12" s="58"/>
      <c r="FN12" s="58"/>
      <c r="FO12" s="58"/>
      <c r="FP12" s="58"/>
      <c r="FQ12" s="58"/>
      <c r="FR12" s="58"/>
      <c r="FS12" s="58"/>
      <c r="FT12" s="58"/>
      <c r="FU12" s="58"/>
      <c r="FV12" s="58"/>
      <c r="FW12" s="58"/>
      <c r="FX12" s="79"/>
      <c r="FY12" s="58"/>
      <c r="FZ12" s="58"/>
      <c r="GA12" s="58"/>
      <c r="GB12" s="58"/>
      <c r="GC12" s="58"/>
      <c r="GD12" s="58"/>
      <c r="GE12" s="58"/>
      <c r="GF12" s="58"/>
      <c r="GG12" s="58"/>
      <c r="GH12" s="58"/>
      <c r="GI12" s="58"/>
      <c r="KO12" s="84"/>
      <c r="KP12" s="85"/>
      <c r="KQ12" s="85"/>
      <c r="KR12" s="85"/>
      <c r="KS12" s="85"/>
      <c r="KT12" s="85"/>
      <c r="KU12" s="85"/>
      <c r="KV12" s="85"/>
      <c r="KW12" s="86"/>
    </row>
    <row r="13" spans="1:326" s="30" customFormat="1" ht="15" thickBot="1" x14ac:dyDescent="0.35">
      <c r="A13" s="78" t="s">
        <v>664</v>
      </c>
      <c r="B13" s="78" t="s">
        <v>58</v>
      </c>
      <c r="C13" s="78" t="s">
        <v>25</v>
      </c>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c r="BG13" s="58"/>
      <c r="BH13" s="58"/>
      <c r="BI13" s="58"/>
      <c r="BJ13" s="58"/>
      <c r="BK13" s="58"/>
      <c r="BL13" s="68"/>
      <c r="BM13" s="66"/>
      <c r="BN13" s="66"/>
      <c r="BO13" s="66"/>
      <c r="BP13" s="66"/>
      <c r="BQ13" s="66"/>
      <c r="BR13" s="66"/>
      <c r="BS13" s="66"/>
      <c r="BT13" s="66"/>
      <c r="BU13" s="66"/>
      <c r="BV13" s="67"/>
      <c r="BW13" s="58"/>
      <c r="BX13" s="58"/>
      <c r="BY13" s="58"/>
      <c r="BZ13" s="58"/>
      <c r="CA13" s="58"/>
      <c r="CB13" s="58"/>
      <c r="CC13" s="58"/>
      <c r="CD13" s="58"/>
      <c r="CE13" s="58"/>
      <c r="CF13" s="58"/>
      <c r="CG13" s="58"/>
      <c r="CH13" s="58"/>
      <c r="CI13" s="58"/>
      <c r="CJ13" s="58"/>
      <c r="CK13" s="58"/>
      <c r="CL13" s="58"/>
      <c r="CM13" s="58"/>
      <c r="CN13" s="58"/>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58"/>
      <c r="DT13" s="58"/>
      <c r="DU13" s="58"/>
      <c r="DV13" s="58"/>
      <c r="DW13" s="58"/>
      <c r="DX13" s="58"/>
      <c r="DY13" s="58"/>
      <c r="DZ13" s="58"/>
      <c r="EA13" s="58"/>
      <c r="EB13" s="58"/>
      <c r="EC13" s="58"/>
      <c r="ED13" s="58"/>
      <c r="EE13" s="58"/>
      <c r="EF13" s="58"/>
      <c r="EG13" s="58"/>
      <c r="EH13" s="58"/>
      <c r="EI13" s="58"/>
      <c r="EJ13" s="58"/>
      <c r="EK13" s="58"/>
      <c r="EL13" s="58"/>
      <c r="EM13" s="58"/>
      <c r="EN13" s="58"/>
      <c r="EO13" s="58"/>
      <c r="EP13" s="58"/>
      <c r="EQ13" s="58"/>
      <c r="ER13" s="58"/>
      <c r="ES13" s="58"/>
      <c r="ET13" s="58"/>
      <c r="EU13" s="58"/>
      <c r="EV13" s="58"/>
      <c r="EW13" s="58"/>
      <c r="EX13" s="58"/>
      <c r="EY13" s="58"/>
      <c r="EZ13" s="58"/>
      <c r="FA13" s="58"/>
      <c r="FB13" s="58"/>
      <c r="FC13" s="58"/>
      <c r="FD13" s="58"/>
      <c r="FE13" s="58"/>
      <c r="FF13" s="58"/>
      <c r="FG13" s="58"/>
      <c r="FH13" s="58"/>
      <c r="FI13" s="58"/>
      <c r="FJ13" s="58"/>
      <c r="FK13" s="58"/>
      <c r="FL13" s="58"/>
      <c r="FM13" s="58"/>
      <c r="FN13" s="58"/>
      <c r="FO13" s="58"/>
      <c r="FP13" s="58"/>
      <c r="FQ13" s="58"/>
      <c r="FR13" s="58"/>
      <c r="FS13" s="58"/>
      <c r="FT13" s="58"/>
      <c r="FU13" s="58"/>
      <c r="FV13" s="58"/>
      <c r="FW13" s="58"/>
      <c r="FX13" s="58"/>
      <c r="FY13" s="58"/>
      <c r="FZ13" s="58"/>
      <c r="GA13" s="58"/>
      <c r="GB13" s="58"/>
      <c r="GC13" s="58"/>
      <c r="GD13" s="58"/>
      <c r="GE13" s="58"/>
      <c r="GF13" s="58"/>
      <c r="GG13" s="58"/>
      <c r="GH13" s="58"/>
      <c r="GI13" s="58"/>
      <c r="GJ13" s="58"/>
      <c r="GK13" s="58"/>
      <c r="GL13" s="58"/>
      <c r="GM13" s="58"/>
      <c r="GN13" s="58"/>
      <c r="GO13" s="58"/>
      <c r="GP13" s="58"/>
      <c r="GQ13" s="58"/>
      <c r="GR13" s="58"/>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58"/>
      <c r="HX13" s="58"/>
      <c r="HY13" s="58"/>
      <c r="HZ13" s="58"/>
      <c r="IA13" s="58"/>
      <c r="IB13" s="58"/>
      <c r="IC13" s="58"/>
      <c r="ID13" s="58"/>
      <c r="IE13" s="58"/>
      <c r="IF13" s="58"/>
      <c r="IG13" s="58"/>
      <c r="IH13" s="58"/>
      <c r="II13" s="58"/>
      <c r="IJ13" s="58"/>
      <c r="IK13" s="58"/>
      <c r="IL13" s="58"/>
      <c r="IM13" s="58"/>
      <c r="IX13" s="146"/>
      <c r="KO13" s="84"/>
      <c r="KP13" s="85"/>
      <c r="KQ13" s="85"/>
      <c r="KR13" s="85"/>
      <c r="KS13" s="85"/>
      <c r="KT13" s="85"/>
      <c r="KU13" s="85"/>
      <c r="KV13" s="85"/>
      <c r="KW13" s="86"/>
    </row>
    <row r="14" spans="1:326" s="30" customFormat="1" ht="15" thickBot="1" x14ac:dyDescent="0.35">
      <c r="A14" s="150" t="s">
        <v>645</v>
      </c>
      <c r="B14" s="150" t="s">
        <v>51</v>
      </c>
      <c r="C14" s="150" t="s">
        <v>7</v>
      </c>
      <c r="E14" s="58"/>
      <c r="F14" s="58"/>
      <c r="G14" s="58"/>
      <c r="H14" s="58"/>
      <c r="I14" s="58"/>
      <c r="J14" s="58"/>
      <c r="K14" s="58"/>
      <c r="L14" s="58"/>
      <c r="M14" s="58"/>
      <c r="N14" s="58"/>
      <c r="O14" s="58"/>
      <c r="P14" s="58"/>
      <c r="Q14" s="58"/>
      <c r="R14" s="58"/>
      <c r="S14" s="58"/>
      <c r="T14" s="58"/>
      <c r="U14" s="58"/>
      <c r="V14" s="58"/>
      <c r="W14" s="58"/>
      <c r="X14" s="58"/>
      <c r="Y14" s="149"/>
      <c r="Z14" s="149"/>
      <c r="AA14" s="149"/>
      <c r="AB14" s="149"/>
      <c r="AC14" s="149"/>
      <c r="AD14" s="149"/>
      <c r="AE14" s="149"/>
      <c r="AF14" s="151"/>
      <c r="AG14" s="151"/>
      <c r="AH14" s="151"/>
      <c r="AI14" s="151"/>
      <c r="AJ14" s="151"/>
      <c r="AK14" s="151"/>
      <c r="AL14" s="151"/>
      <c r="AM14" s="151"/>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58"/>
      <c r="CJ14" s="58"/>
      <c r="CK14" s="58"/>
      <c r="CL14" s="58"/>
      <c r="CM14" s="58"/>
      <c r="CN14" s="58"/>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58"/>
      <c r="FD14" s="58"/>
      <c r="FE14" s="58"/>
      <c r="FF14" s="58"/>
      <c r="FG14" s="58"/>
      <c r="FH14" s="58"/>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58"/>
      <c r="GN14" s="58"/>
      <c r="GO14" s="58"/>
      <c r="GP14" s="58"/>
      <c r="GQ14" s="58"/>
      <c r="GR14" s="58"/>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58"/>
      <c r="HX14" s="58"/>
      <c r="HY14" s="58"/>
      <c r="HZ14" s="58"/>
      <c r="IA14" s="58"/>
      <c r="IB14" s="58"/>
      <c r="IC14" s="58"/>
      <c r="ID14" s="58"/>
      <c r="IE14" s="58"/>
      <c r="IF14" s="58"/>
      <c r="IG14" s="58"/>
      <c r="IH14" s="58"/>
      <c r="II14" s="58"/>
      <c r="IJ14" s="58"/>
      <c r="IK14" s="58"/>
      <c r="IL14" s="58"/>
      <c r="IM14" s="58"/>
    </row>
    <row r="15" spans="1:326" s="30" customFormat="1" ht="15" thickBot="1" x14ac:dyDescent="0.35">
      <c r="A15" s="154" t="s">
        <v>645</v>
      </c>
      <c r="B15" s="154" t="s">
        <v>52</v>
      </c>
      <c r="C15" s="154" t="s">
        <v>14</v>
      </c>
      <c r="E15" s="58"/>
      <c r="F15" s="58"/>
      <c r="G15" s="58"/>
      <c r="H15" s="58"/>
      <c r="I15" s="58"/>
      <c r="J15" s="58"/>
      <c r="K15" s="58"/>
      <c r="L15" s="58"/>
      <c r="M15" s="58"/>
      <c r="N15" s="58"/>
      <c r="O15" s="58"/>
      <c r="P15" s="58"/>
      <c r="Q15" s="58"/>
      <c r="R15" s="58"/>
      <c r="S15" s="58"/>
      <c r="T15" s="58"/>
      <c r="U15" s="58"/>
      <c r="V15" s="68"/>
      <c r="W15" s="66"/>
      <c r="X15" s="66"/>
      <c r="Y15" s="66"/>
      <c r="Z15" s="66"/>
      <c r="AA15" s="66"/>
      <c r="AB15" s="67"/>
      <c r="AC15" s="58"/>
      <c r="AD15" s="58"/>
      <c r="AE15" s="58"/>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5"/>
      <c r="BM15" s="155"/>
      <c r="BN15" s="155"/>
      <c r="BO15" s="155"/>
      <c r="BP15" s="155"/>
      <c r="BQ15" s="155"/>
      <c r="BR15" s="155"/>
      <c r="BS15" s="155"/>
      <c r="BT15" s="58"/>
      <c r="BU15" s="58"/>
      <c r="BV15" s="58"/>
      <c r="BW15" s="58"/>
      <c r="BX15" s="58"/>
      <c r="BY15" s="58"/>
      <c r="BZ15" s="58"/>
      <c r="CA15" s="58"/>
      <c r="CB15" s="58"/>
      <c r="CC15" s="68"/>
      <c r="CD15" s="66"/>
      <c r="CE15" s="66"/>
      <c r="CF15" s="66"/>
      <c r="CG15" s="67"/>
      <c r="CH15" s="58"/>
      <c r="CI15" s="58"/>
      <c r="CJ15" s="58"/>
      <c r="CK15" s="58"/>
      <c r="CL15" s="58"/>
      <c r="CM15" s="58"/>
      <c r="CN15" s="58"/>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58"/>
      <c r="DT15" s="58"/>
      <c r="DU15" s="58"/>
      <c r="DV15" s="58"/>
      <c r="DW15" s="58"/>
      <c r="DX15" s="58"/>
      <c r="DY15" s="58"/>
      <c r="DZ15" s="58"/>
      <c r="EA15" s="58"/>
      <c r="EB15" s="58"/>
      <c r="EC15" s="58"/>
      <c r="ED15" s="58"/>
      <c r="EE15" s="58"/>
      <c r="EF15" s="58"/>
      <c r="EG15" s="58"/>
      <c r="EH15" s="58"/>
      <c r="EI15" s="58"/>
      <c r="EJ15" s="58"/>
      <c r="EK15" s="58"/>
      <c r="EL15" s="58"/>
      <c r="EM15" s="58"/>
      <c r="EN15" s="58"/>
      <c r="EO15" s="58"/>
      <c r="EP15" s="58"/>
      <c r="EQ15" s="58"/>
      <c r="ER15" s="58"/>
      <c r="ES15" s="58"/>
      <c r="ET15" s="58"/>
      <c r="EU15" s="58"/>
      <c r="EV15" s="58"/>
      <c r="EW15" s="58"/>
      <c r="EX15" s="58"/>
      <c r="EY15" s="58"/>
      <c r="EZ15" s="58"/>
      <c r="FA15" s="58"/>
      <c r="FB15" s="58"/>
      <c r="FC15" s="58"/>
      <c r="FD15" s="58"/>
      <c r="FE15" s="58"/>
      <c r="FF15" s="58"/>
      <c r="FG15" s="58"/>
      <c r="FH15" s="58"/>
      <c r="FI15" s="58"/>
      <c r="FJ15" s="58"/>
      <c r="FK15" s="58"/>
      <c r="FL15" s="58"/>
      <c r="FM15" s="58"/>
      <c r="FN15" s="58"/>
      <c r="FO15" s="58"/>
      <c r="FP15" s="58"/>
      <c r="FQ15" s="58"/>
      <c r="FR15" s="58"/>
      <c r="FS15" s="58"/>
      <c r="FT15" s="58"/>
      <c r="FU15" s="58"/>
      <c r="FV15" s="58"/>
      <c r="FW15" s="58"/>
      <c r="FX15" s="58"/>
      <c r="FY15" s="58"/>
      <c r="FZ15" s="58"/>
      <c r="GA15" s="58"/>
      <c r="GB15" s="58"/>
      <c r="GC15" s="58"/>
      <c r="GD15" s="58"/>
      <c r="GE15" s="58"/>
      <c r="GF15" s="58"/>
      <c r="GG15" s="58"/>
      <c r="GH15" s="58"/>
      <c r="GI15" s="58"/>
      <c r="GJ15" s="58"/>
      <c r="GK15" s="58"/>
      <c r="GL15" s="58"/>
      <c r="GM15" s="58"/>
      <c r="GN15" s="58"/>
      <c r="GO15" s="58"/>
      <c r="GP15" s="58"/>
      <c r="GQ15" s="58"/>
      <c r="GR15" s="58"/>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58"/>
      <c r="HX15" s="58"/>
      <c r="HY15" s="58"/>
      <c r="HZ15" s="58"/>
      <c r="IA15" s="58"/>
      <c r="IB15" s="58"/>
      <c r="IC15" s="58"/>
      <c r="ID15" s="58"/>
      <c r="IE15" s="58"/>
      <c r="IF15" s="58"/>
      <c r="IG15" s="58"/>
      <c r="IH15" s="58"/>
      <c r="II15" s="58"/>
      <c r="IJ15" s="58"/>
      <c r="IK15" s="58"/>
      <c r="IL15" s="58"/>
      <c r="IM15" s="58"/>
    </row>
    <row r="16" spans="1:326" s="30" customFormat="1" ht="15" thickBot="1" x14ac:dyDescent="0.35">
      <c r="A16" s="37" t="s">
        <v>645</v>
      </c>
      <c r="B16" s="37" t="s">
        <v>81</v>
      </c>
      <c r="C16" s="37" t="s">
        <v>10</v>
      </c>
      <c r="E16" s="58"/>
      <c r="F16" s="58"/>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c r="BA16" s="58"/>
      <c r="BB16" s="58"/>
      <c r="BC16" s="58"/>
      <c r="BD16" s="58"/>
      <c r="BE16" s="58"/>
      <c r="BF16" s="58"/>
      <c r="BG16" s="58"/>
      <c r="BH16" s="58"/>
      <c r="BI16" s="58"/>
      <c r="BJ16" s="58"/>
      <c r="BK16" s="58"/>
      <c r="BL16" s="148"/>
      <c r="BM16" s="148"/>
      <c r="BN16" s="148"/>
      <c r="BO16" s="148"/>
      <c r="BP16" s="148"/>
      <c r="BQ16" s="148"/>
      <c r="BR16" s="148"/>
      <c r="BS16" s="148"/>
      <c r="BT16" s="58"/>
      <c r="BU16" s="58"/>
      <c r="BV16" s="58"/>
      <c r="BW16" s="58"/>
      <c r="BX16" s="58"/>
      <c r="BY16" s="58"/>
      <c r="BZ16" s="58"/>
      <c r="CA16" s="58"/>
      <c r="CB16" s="58"/>
      <c r="CC16" s="58"/>
      <c r="CD16" s="58"/>
      <c r="CE16" s="58"/>
      <c r="CF16" s="68"/>
      <c r="CG16" s="66"/>
      <c r="CH16" s="66"/>
      <c r="CI16" s="66"/>
      <c r="CJ16" s="66"/>
      <c r="CK16" s="66"/>
      <c r="CL16" s="66"/>
      <c r="CM16" s="66"/>
      <c r="CN16" s="67"/>
      <c r="CO16" s="58"/>
      <c r="CP16" s="58"/>
      <c r="CQ16" s="58"/>
      <c r="CR16" s="58"/>
      <c r="CS16" s="58"/>
      <c r="CT16" s="58"/>
      <c r="CU16" s="58"/>
      <c r="CV16" s="58"/>
      <c r="CW16" s="58"/>
      <c r="CX16" s="58"/>
      <c r="CY16" s="58"/>
      <c r="CZ16" s="58"/>
      <c r="DA16" s="58"/>
      <c r="DB16" s="58"/>
      <c r="DC16" s="58"/>
      <c r="DD16" s="58"/>
      <c r="DE16" s="58"/>
      <c r="DF16" s="58"/>
      <c r="DG16" s="58"/>
      <c r="DH16" s="58"/>
      <c r="DI16" s="58"/>
      <c r="DJ16" s="58"/>
      <c r="DK16" s="58"/>
      <c r="DL16" s="58"/>
      <c r="DM16" s="58"/>
      <c r="DN16" s="58"/>
      <c r="DO16" s="58"/>
      <c r="DP16" s="58"/>
      <c r="DQ16" s="58"/>
      <c r="DR16" s="58"/>
      <c r="DS16" s="58"/>
      <c r="DT16" s="58"/>
      <c r="DU16" s="58"/>
      <c r="DV16" s="58"/>
      <c r="DW16" s="58"/>
      <c r="DX16" s="58"/>
      <c r="DY16" s="58"/>
      <c r="DZ16" s="58"/>
      <c r="EA16" s="58"/>
      <c r="EB16" s="58"/>
      <c r="EC16" s="58"/>
      <c r="ED16" s="58"/>
      <c r="EE16" s="58"/>
      <c r="EF16" s="58"/>
      <c r="EG16" s="58"/>
      <c r="EH16" s="58"/>
      <c r="EI16" s="58"/>
      <c r="EJ16" s="58"/>
      <c r="EK16" s="58"/>
      <c r="EL16" s="58"/>
      <c r="EM16" s="58"/>
      <c r="EN16" s="58"/>
      <c r="EO16" s="58"/>
      <c r="EP16" s="58"/>
      <c r="EQ16" s="58"/>
      <c r="ER16" s="58"/>
      <c r="ES16" s="58"/>
      <c r="ET16" s="58"/>
      <c r="EU16" s="58"/>
      <c r="EV16" s="58"/>
      <c r="EW16" s="58"/>
      <c r="EX16" s="58"/>
      <c r="EY16" s="58"/>
      <c r="EZ16" s="58"/>
      <c r="FA16" s="58"/>
      <c r="FB16" s="58"/>
      <c r="FC16" s="58"/>
      <c r="FD16" s="58"/>
      <c r="FE16" s="58"/>
      <c r="FF16" s="58"/>
      <c r="FG16" s="58"/>
      <c r="FH16" s="58"/>
      <c r="FI16" s="58"/>
      <c r="FJ16" s="58"/>
      <c r="FK16" s="58"/>
      <c r="FL16" s="58"/>
      <c r="FM16" s="58"/>
      <c r="FN16" s="58"/>
      <c r="FO16" s="58"/>
      <c r="FP16" s="58"/>
      <c r="FQ16" s="58"/>
      <c r="FR16" s="58"/>
      <c r="FS16" s="58"/>
      <c r="FT16" s="58"/>
      <c r="FU16" s="58"/>
      <c r="FV16" s="58"/>
      <c r="FW16" s="58"/>
      <c r="FX16" s="58"/>
      <c r="FY16" s="58"/>
      <c r="FZ16" s="58"/>
      <c r="GA16" s="58"/>
      <c r="GB16" s="58"/>
      <c r="GC16" s="58"/>
      <c r="GD16" s="58"/>
      <c r="GE16" s="58"/>
      <c r="GF16" s="58"/>
      <c r="GG16" s="58"/>
      <c r="GH16" s="58"/>
      <c r="GI16" s="58"/>
      <c r="GJ16" s="58"/>
      <c r="GK16" s="58"/>
      <c r="GL16" s="58"/>
      <c r="GM16" s="58"/>
      <c r="GN16" s="58"/>
      <c r="GO16" s="58"/>
      <c r="GP16" s="58"/>
      <c r="GQ16" s="58"/>
      <c r="GR16" s="58"/>
      <c r="GS16" s="58"/>
      <c r="GT16" s="58"/>
      <c r="GU16" s="58"/>
      <c r="GV16" s="58"/>
      <c r="GW16" s="58"/>
      <c r="GX16" s="58"/>
      <c r="GY16" s="58"/>
      <c r="GZ16" s="58"/>
      <c r="HA16" s="58"/>
      <c r="HB16" s="58"/>
      <c r="HC16" s="58"/>
      <c r="HD16" s="58"/>
      <c r="HE16" s="58"/>
      <c r="HF16" s="58"/>
      <c r="HG16" s="58"/>
      <c r="HH16" s="58"/>
      <c r="HI16" s="58"/>
      <c r="HJ16" s="58"/>
      <c r="HK16" s="58"/>
      <c r="HL16" s="58"/>
      <c r="HM16" s="58"/>
      <c r="HN16" s="58"/>
      <c r="HO16" s="58"/>
      <c r="HP16" s="58"/>
      <c r="HQ16" s="58"/>
      <c r="HR16" s="58"/>
      <c r="HS16" s="58"/>
      <c r="HT16" s="58"/>
      <c r="HU16" s="58"/>
      <c r="HV16" s="58"/>
      <c r="HW16" s="58"/>
      <c r="HX16" s="58"/>
      <c r="HY16" s="58"/>
      <c r="HZ16" s="58"/>
      <c r="IA16" s="58"/>
      <c r="IB16" s="58"/>
      <c r="IC16" s="58"/>
      <c r="ID16" s="58"/>
      <c r="IE16" s="58"/>
      <c r="IF16" s="58"/>
      <c r="IG16" s="58"/>
      <c r="IH16" s="58"/>
      <c r="II16" s="58"/>
      <c r="IJ16" s="58"/>
      <c r="IK16" s="58"/>
      <c r="IL16" s="58"/>
      <c r="IM16" s="58"/>
      <c r="IN16" s="58"/>
      <c r="IO16" s="58"/>
      <c r="IP16" s="58"/>
      <c r="IQ16" s="58"/>
      <c r="IR16" s="58"/>
      <c r="IS16" s="58"/>
      <c r="IT16" s="58"/>
      <c r="IU16" s="58"/>
      <c r="IV16" s="58"/>
      <c r="IW16" s="58"/>
      <c r="IX16" s="58"/>
      <c r="IY16" s="58"/>
      <c r="IZ16" s="58"/>
      <c r="JA16" s="58"/>
      <c r="JB16" s="58"/>
      <c r="JC16" s="58"/>
      <c r="JD16" s="58"/>
      <c r="JE16" s="58"/>
      <c r="JF16" s="58"/>
      <c r="JG16" s="58"/>
      <c r="JH16" s="58"/>
      <c r="JI16" s="58"/>
      <c r="JJ16" s="58"/>
      <c r="JK16" s="58"/>
      <c r="JL16" s="58"/>
      <c r="JM16" s="58"/>
      <c r="JN16" s="58"/>
      <c r="JO16" s="58"/>
      <c r="JP16" s="58"/>
      <c r="JQ16" s="58"/>
      <c r="JR16" s="58"/>
      <c r="JS16" s="58"/>
      <c r="JT16" s="58"/>
      <c r="JU16" s="58"/>
      <c r="JV16" s="58"/>
      <c r="JW16" s="58"/>
      <c r="JX16" s="58"/>
      <c r="JY16" s="58"/>
      <c r="JZ16" s="58"/>
      <c r="KA16" s="58"/>
      <c r="KB16" s="58"/>
      <c r="KC16" s="58"/>
      <c r="KD16" s="58"/>
      <c r="KE16" s="58"/>
      <c r="KF16" s="58"/>
      <c r="KG16" s="58"/>
      <c r="KH16" s="58"/>
      <c r="KI16" s="58"/>
      <c r="KJ16" s="58"/>
      <c r="KK16" s="58"/>
      <c r="KL16" s="58"/>
      <c r="KM16" s="58"/>
      <c r="KN16" s="58"/>
      <c r="KO16" s="58"/>
    </row>
    <row r="17" spans="1:309" s="30" customFormat="1" ht="15" thickBot="1" x14ac:dyDescent="0.35">
      <c r="A17" s="19" t="s">
        <v>645</v>
      </c>
      <c r="B17" s="19" t="s">
        <v>55</v>
      </c>
      <c r="C17" s="19" t="s">
        <v>22</v>
      </c>
      <c r="E17" s="58"/>
      <c r="F17" s="58"/>
      <c r="G17" s="58"/>
      <c r="H17" s="58"/>
      <c r="I17" s="58"/>
      <c r="J17" s="58"/>
      <c r="K17" s="58"/>
      <c r="L17" s="58"/>
      <c r="M17" s="68"/>
      <c r="N17" s="66"/>
      <c r="O17" s="66"/>
      <c r="P17" s="66"/>
      <c r="Q17" s="66"/>
      <c r="R17" s="67"/>
      <c r="S17" s="68"/>
      <c r="T17" s="66"/>
      <c r="U17" s="66"/>
      <c r="V17" s="66"/>
      <c r="W17" s="66"/>
      <c r="X17" s="66"/>
      <c r="Y17" s="66"/>
      <c r="Z17" s="66"/>
      <c r="AA17" s="66"/>
      <c r="AB17" s="66"/>
      <c r="AC17" s="67"/>
      <c r="AD17" s="58"/>
      <c r="AE17" s="58"/>
      <c r="AF17" s="58" t="s">
        <v>263</v>
      </c>
      <c r="AG17" s="58" t="s">
        <v>263</v>
      </c>
      <c r="AH17" s="58" t="s">
        <v>263</v>
      </c>
      <c r="AI17" s="58" t="s">
        <v>263</v>
      </c>
      <c r="AJ17" s="58" t="s">
        <v>263</v>
      </c>
      <c r="AK17" s="58" t="s">
        <v>263</v>
      </c>
      <c r="AL17" s="58" t="s">
        <v>263</v>
      </c>
      <c r="AM17" s="58" t="s">
        <v>263</v>
      </c>
      <c r="AN17" s="58" t="s">
        <v>263</v>
      </c>
      <c r="AO17" s="58" t="s">
        <v>263</v>
      </c>
      <c r="AP17" s="58" t="s">
        <v>263</v>
      </c>
      <c r="AQ17" s="58" t="s">
        <v>263</v>
      </c>
      <c r="AR17" s="58" t="s">
        <v>263</v>
      </c>
      <c r="AS17" s="58" t="s">
        <v>263</v>
      </c>
      <c r="AT17" s="58" t="s">
        <v>263</v>
      </c>
      <c r="AU17" s="58" t="s">
        <v>263</v>
      </c>
      <c r="AV17" s="58" t="s">
        <v>263</v>
      </c>
      <c r="AW17" s="58" t="s">
        <v>263</v>
      </c>
      <c r="AX17" s="58" t="s">
        <v>263</v>
      </c>
      <c r="AY17" s="58" t="s">
        <v>263</v>
      </c>
      <c r="AZ17" s="58" t="s">
        <v>263</v>
      </c>
      <c r="BA17" s="58" t="s">
        <v>263</v>
      </c>
      <c r="BB17" s="58" t="s">
        <v>263</v>
      </c>
      <c r="BC17" s="58" t="s">
        <v>263</v>
      </c>
      <c r="BD17" s="58" t="s">
        <v>263</v>
      </c>
      <c r="BE17" s="58" t="s">
        <v>263</v>
      </c>
      <c r="BF17" s="58" t="s">
        <v>263</v>
      </c>
      <c r="BG17" s="58" t="s">
        <v>263</v>
      </c>
      <c r="BH17" s="58" t="s">
        <v>263</v>
      </c>
      <c r="BI17" s="58" t="s">
        <v>263</v>
      </c>
      <c r="BJ17" s="58" t="s">
        <v>263</v>
      </c>
      <c r="BK17" s="58" t="s">
        <v>263</v>
      </c>
      <c r="BL17" s="58" t="s">
        <v>263</v>
      </c>
      <c r="BM17" s="58" t="s">
        <v>263</v>
      </c>
      <c r="BN17" s="58" t="s">
        <v>263</v>
      </c>
      <c r="BO17" s="58" t="s">
        <v>263</v>
      </c>
      <c r="BP17" s="58" t="s">
        <v>263</v>
      </c>
      <c r="BQ17" s="58" t="s">
        <v>263</v>
      </c>
      <c r="BR17" s="58" t="s">
        <v>263</v>
      </c>
      <c r="BS17" s="58" t="s">
        <v>263</v>
      </c>
      <c r="BT17" s="59" t="s">
        <v>263</v>
      </c>
      <c r="BU17" s="59" t="s">
        <v>263</v>
      </c>
      <c r="BV17" s="59" t="s">
        <v>263</v>
      </c>
      <c r="BW17" s="59" t="s">
        <v>263</v>
      </c>
      <c r="BX17" s="59" t="s">
        <v>263</v>
      </c>
      <c r="BY17" s="59" t="s">
        <v>263</v>
      </c>
      <c r="BZ17" s="59" t="s">
        <v>263</v>
      </c>
      <c r="CA17" s="59" t="s">
        <v>263</v>
      </c>
      <c r="CB17" s="59" t="s">
        <v>263</v>
      </c>
      <c r="CC17" s="59" t="s">
        <v>263</v>
      </c>
      <c r="CD17" s="59" t="s">
        <v>263</v>
      </c>
      <c r="CE17" s="59" t="s">
        <v>263</v>
      </c>
      <c r="CF17" s="59" t="s">
        <v>263</v>
      </c>
      <c r="CG17" s="59" t="s">
        <v>263</v>
      </c>
      <c r="CH17" s="59" t="s">
        <v>263</v>
      </c>
      <c r="CI17" s="59" t="s">
        <v>263</v>
      </c>
      <c r="CJ17" s="59" t="s">
        <v>263</v>
      </c>
      <c r="CK17" s="59" t="s">
        <v>263</v>
      </c>
      <c r="CL17" s="59" t="s">
        <v>263</v>
      </c>
      <c r="CM17" s="59" t="s">
        <v>263</v>
      </c>
      <c r="CN17" s="59" t="s">
        <v>263</v>
      </c>
      <c r="CO17" s="59" t="s">
        <v>263</v>
      </c>
      <c r="CP17" s="59" t="s">
        <v>263</v>
      </c>
      <c r="CQ17" s="59" t="s">
        <v>263</v>
      </c>
      <c r="CR17" s="59" t="s">
        <v>263</v>
      </c>
      <c r="CS17" s="59" t="s">
        <v>263</v>
      </c>
      <c r="CT17" s="58" t="s">
        <v>263</v>
      </c>
      <c r="CU17" s="58" t="s">
        <v>263</v>
      </c>
      <c r="CV17" s="58"/>
      <c r="CW17" s="58"/>
      <c r="CX17" s="58"/>
      <c r="CY17" s="58"/>
      <c r="CZ17" s="58"/>
      <c r="DA17" s="58"/>
      <c r="DB17" s="58"/>
      <c r="DC17" s="58"/>
      <c r="DD17" s="58"/>
      <c r="DE17" s="58"/>
      <c r="DF17" s="58"/>
      <c r="DG17" s="58"/>
      <c r="DH17" s="58"/>
      <c r="DI17" s="58"/>
      <c r="DJ17" s="58"/>
      <c r="DK17" s="58"/>
      <c r="DL17" s="58"/>
      <c r="DM17" s="58"/>
      <c r="DN17" s="58"/>
      <c r="DO17" s="58"/>
      <c r="DP17" s="58"/>
      <c r="DQ17" s="58"/>
      <c r="DR17" s="58"/>
      <c r="DS17" s="58"/>
      <c r="DT17" s="58"/>
      <c r="DU17" s="58"/>
      <c r="DV17" s="58"/>
      <c r="DW17" s="58"/>
      <c r="DX17" s="58"/>
      <c r="DY17" s="58"/>
      <c r="DZ17" s="58"/>
      <c r="EA17" s="58"/>
      <c r="EB17" s="58"/>
      <c r="EC17" s="58"/>
      <c r="ED17" s="58"/>
      <c r="EE17" s="58"/>
      <c r="EF17" s="58"/>
      <c r="EG17" s="58"/>
      <c r="EH17" s="58"/>
      <c r="EI17" s="58"/>
      <c r="EJ17" s="58"/>
      <c r="EK17" s="58"/>
      <c r="EL17" s="58"/>
      <c r="EM17" s="58"/>
      <c r="EN17" s="58"/>
      <c r="EO17" s="58"/>
      <c r="EP17" s="58"/>
      <c r="EQ17" s="58"/>
      <c r="ER17" s="58"/>
      <c r="ES17" s="58"/>
      <c r="ET17" s="58"/>
      <c r="EU17" s="58"/>
      <c r="EV17" s="58"/>
      <c r="EW17" s="58"/>
      <c r="EX17" s="58"/>
      <c r="EY17" s="58"/>
      <c r="EZ17" s="58"/>
      <c r="FA17" s="58"/>
      <c r="FB17" s="58"/>
      <c r="FC17" s="58"/>
      <c r="FD17" s="58"/>
      <c r="FE17" s="58"/>
      <c r="FF17" s="58"/>
      <c r="FG17" s="58"/>
      <c r="FH17" s="58"/>
      <c r="FI17" s="58"/>
      <c r="FJ17" s="58"/>
      <c r="FK17" s="58"/>
      <c r="FL17" s="58"/>
      <c r="FM17" s="58"/>
      <c r="FN17" s="58"/>
      <c r="FO17" s="58"/>
      <c r="FP17" s="58"/>
      <c r="FQ17" s="58"/>
      <c r="FR17" s="58"/>
      <c r="FS17" s="58"/>
      <c r="FT17" s="58"/>
      <c r="FU17" s="58"/>
      <c r="FV17" s="58"/>
      <c r="FW17" s="58"/>
      <c r="FX17" s="58"/>
      <c r="FY17" s="58"/>
      <c r="FZ17" s="58"/>
      <c r="GA17" s="58"/>
      <c r="GB17" s="58"/>
      <c r="GC17" s="58"/>
      <c r="GD17" s="58"/>
      <c r="GE17" s="58"/>
      <c r="GF17" s="58"/>
      <c r="GG17" s="58"/>
      <c r="GH17" s="58"/>
      <c r="GI17" s="58"/>
      <c r="GJ17" s="58"/>
      <c r="GK17" s="58"/>
      <c r="GL17" s="58"/>
      <c r="GM17" s="58"/>
      <c r="GN17" s="58"/>
      <c r="GO17" s="58"/>
      <c r="GP17" s="58"/>
      <c r="GQ17" s="58"/>
      <c r="GR17" s="58"/>
      <c r="GS17" s="58"/>
      <c r="GT17" s="58"/>
      <c r="GU17" s="58"/>
      <c r="GV17" s="58"/>
      <c r="GW17" s="58"/>
      <c r="GX17" s="58"/>
      <c r="GY17" s="58"/>
      <c r="GZ17" s="58"/>
      <c r="HA17" s="58"/>
      <c r="HB17" s="58"/>
      <c r="HC17" s="58"/>
      <c r="HD17" s="58"/>
      <c r="HE17" s="58"/>
      <c r="HF17" s="58"/>
      <c r="HG17" s="58"/>
      <c r="HH17" s="58"/>
      <c r="HI17" s="58"/>
      <c r="HJ17" s="58"/>
      <c r="HK17" s="58"/>
      <c r="HL17" s="58"/>
      <c r="HM17" s="58"/>
      <c r="HN17" s="58"/>
      <c r="HO17" s="58"/>
      <c r="HP17" s="58"/>
      <c r="HQ17" s="58"/>
      <c r="HR17" s="58"/>
      <c r="HS17" s="58"/>
      <c r="HT17" s="58"/>
      <c r="HU17" s="58"/>
      <c r="HV17" s="58"/>
      <c r="HW17" s="58"/>
      <c r="HX17" s="58"/>
      <c r="HY17" s="58"/>
      <c r="HZ17" s="58"/>
      <c r="IA17" s="58"/>
      <c r="IB17" s="58"/>
      <c r="IC17" s="58"/>
      <c r="ID17" s="58"/>
      <c r="IE17" s="58"/>
      <c r="IF17" s="58"/>
    </row>
    <row r="18" spans="1:309" s="30" customFormat="1" ht="15" thickBot="1" x14ac:dyDescent="0.35">
      <c r="A18" s="20" t="s">
        <v>645</v>
      </c>
      <c r="B18" s="20" t="s">
        <v>371</v>
      </c>
      <c r="C18" s="20" t="s">
        <v>27</v>
      </c>
      <c r="E18" s="58"/>
      <c r="F18" s="58"/>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W18" s="58"/>
      <c r="BX18" s="58"/>
      <c r="BY18" s="58"/>
      <c r="BZ18" s="58"/>
      <c r="CA18" s="58"/>
      <c r="CB18" s="58"/>
      <c r="CC18" s="58"/>
      <c r="CD18" s="58"/>
      <c r="CE18" s="58"/>
      <c r="CF18" s="58"/>
      <c r="CG18" s="58"/>
      <c r="CH18" s="58"/>
      <c r="CI18" s="58"/>
      <c r="CJ18" s="58"/>
      <c r="CK18" s="58"/>
      <c r="CL18" s="58"/>
      <c r="CM18" s="58"/>
      <c r="CN18" s="58"/>
      <c r="CO18" s="58"/>
      <c r="CP18" s="58"/>
      <c r="CQ18" s="58"/>
      <c r="CR18" s="58"/>
      <c r="CS18" s="58"/>
      <c r="CT18" s="58"/>
      <c r="CU18" s="58"/>
      <c r="CV18" s="58"/>
      <c r="CW18" s="58"/>
      <c r="CX18" s="58"/>
      <c r="CY18" s="58"/>
      <c r="CZ18" s="58"/>
      <c r="DA18" s="58"/>
      <c r="DB18" s="58"/>
      <c r="DC18" s="58"/>
      <c r="DD18" s="58"/>
      <c r="DE18" s="58"/>
      <c r="DF18" s="58"/>
      <c r="DG18" s="58"/>
      <c r="DH18" s="58"/>
      <c r="DI18" s="58"/>
      <c r="DJ18" s="58"/>
      <c r="DK18" s="58"/>
      <c r="DL18" s="58"/>
      <c r="DM18" s="58"/>
      <c r="DN18" s="58"/>
      <c r="DO18" s="58"/>
      <c r="DP18" s="58"/>
      <c r="DQ18" s="58"/>
      <c r="DR18" s="58"/>
      <c r="DS18" s="58"/>
      <c r="DT18" s="58"/>
      <c r="DU18" s="58"/>
      <c r="DV18" s="58"/>
      <c r="DW18" s="58"/>
      <c r="DX18" s="58"/>
      <c r="DY18" s="58"/>
      <c r="DZ18" s="58"/>
      <c r="EA18" s="70"/>
      <c r="EB18" s="70"/>
      <c r="EC18" s="70"/>
      <c r="ED18" s="70"/>
      <c r="EE18" s="70"/>
      <c r="EF18" s="70"/>
      <c r="EG18" s="70"/>
      <c r="EH18" s="70"/>
      <c r="EI18" s="58"/>
      <c r="EJ18" s="58"/>
      <c r="EK18" s="58"/>
      <c r="EL18" s="58"/>
      <c r="EM18" s="58"/>
      <c r="EN18" s="58"/>
      <c r="EO18" s="58"/>
      <c r="EP18" s="58"/>
      <c r="EQ18" s="58"/>
      <c r="ER18" s="58"/>
      <c r="ES18" s="58"/>
      <c r="ET18" s="58"/>
      <c r="EU18" s="58"/>
      <c r="EV18" s="58"/>
      <c r="EW18" s="58"/>
      <c r="EX18" s="58"/>
      <c r="EY18" s="58"/>
      <c r="EZ18" s="58"/>
      <c r="FA18" s="58"/>
      <c r="FB18" s="58"/>
      <c r="FC18" s="58"/>
      <c r="FD18" s="58"/>
      <c r="FE18" s="58"/>
      <c r="FF18" s="58"/>
      <c r="FG18" s="58"/>
      <c r="FH18" s="58"/>
      <c r="FI18" s="58"/>
      <c r="FJ18" s="58"/>
      <c r="FK18" s="58"/>
      <c r="FL18" s="58"/>
      <c r="FM18" s="58"/>
      <c r="FN18" s="58"/>
      <c r="FO18" s="58"/>
      <c r="FP18" s="58"/>
      <c r="FQ18" s="58"/>
      <c r="FR18" s="58"/>
      <c r="FS18" s="58"/>
      <c r="FT18" s="58"/>
      <c r="FU18" s="58"/>
      <c r="FV18" s="58"/>
      <c r="FW18" s="58"/>
      <c r="FX18" s="58"/>
      <c r="FY18" s="58"/>
      <c r="FZ18" s="58"/>
      <c r="GA18" s="58"/>
      <c r="GB18" s="58"/>
      <c r="GC18" s="58"/>
      <c r="GD18" s="58"/>
      <c r="GE18" s="58"/>
      <c r="GF18" s="58"/>
      <c r="GG18" s="58"/>
      <c r="GH18" s="58"/>
      <c r="GI18" s="58"/>
      <c r="GJ18" s="58"/>
      <c r="GK18" s="58"/>
      <c r="GL18" s="58"/>
      <c r="GM18" s="58"/>
      <c r="GN18" s="58"/>
      <c r="GO18" s="58"/>
      <c r="GP18" s="58"/>
      <c r="GQ18" s="58"/>
      <c r="GR18" s="58"/>
      <c r="GS18" s="58"/>
      <c r="GT18" s="58"/>
      <c r="GU18" s="58"/>
      <c r="GV18" s="58"/>
      <c r="GW18" s="58"/>
      <c r="GX18" s="58"/>
      <c r="GY18" s="58"/>
      <c r="GZ18" s="58"/>
      <c r="HA18" s="58"/>
      <c r="HB18" s="58"/>
      <c r="HC18" s="58"/>
      <c r="HD18" s="58"/>
      <c r="HE18" s="58"/>
      <c r="HF18" s="58"/>
      <c r="HG18" s="58"/>
      <c r="HH18" s="58"/>
      <c r="HI18" s="58"/>
      <c r="HJ18" s="58"/>
      <c r="HK18" s="58"/>
      <c r="HL18" s="58"/>
      <c r="HM18" s="58"/>
      <c r="HN18" s="58"/>
      <c r="HO18" s="58"/>
      <c r="HP18" s="58"/>
      <c r="HQ18" s="58"/>
      <c r="HR18" s="58"/>
      <c r="HS18" s="58"/>
      <c r="HT18" s="58"/>
      <c r="HU18" s="58"/>
      <c r="HV18" s="58"/>
      <c r="HW18" s="58"/>
      <c r="HX18" s="58"/>
      <c r="HY18" s="58"/>
      <c r="HZ18" s="58"/>
      <c r="IA18" s="58"/>
      <c r="IB18" s="58"/>
      <c r="IC18" s="58"/>
      <c r="ID18" s="58"/>
      <c r="IE18" s="58"/>
      <c r="IF18" s="58"/>
      <c r="IG18" s="58"/>
      <c r="IH18" s="58"/>
      <c r="II18" s="58"/>
      <c r="IJ18" s="58"/>
      <c r="IK18" s="58"/>
      <c r="IL18" s="58"/>
      <c r="IM18" s="58"/>
      <c r="IN18" s="58"/>
      <c r="IO18" s="58"/>
      <c r="IP18" s="58"/>
      <c r="IQ18" s="58"/>
      <c r="IR18" s="58"/>
      <c r="IS18" s="58"/>
      <c r="IT18" s="58"/>
      <c r="IU18" s="58"/>
      <c r="IV18" s="58"/>
      <c r="IW18" s="58"/>
      <c r="IX18" s="58"/>
      <c r="IY18" s="58"/>
      <c r="IZ18" s="58"/>
      <c r="JA18" s="58"/>
      <c r="JB18" s="58"/>
      <c r="JC18" s="58"/>
      <c r="JD18" s="58"/>
      <c r="JE18" s="58"/>
      <c r="JF18" s="58"/>
      <c r="JG18" s="58"/>
      <c r="JH18" s="58"/>
      <c r="JI18" s="58"/>
      <c r="JJ18" s="58"/>
      <c r="JK18" s="58"/>
      <c r="JL18" s="58"/>
      <c r="JM18" s="58"/>
      <c r="JN18" s="58"/>
      <c r="JO18" s="58"/>
      <c r="JP18" s="58"/>
      <c r="JQ18" s="58"/>
      <c r="JR18" s="58"/>
      <c r="JS18" s="58"/>
      <c r="JT18" s="58"/>
      <c r="JU18" s="58"/>
      <c r="JV18" s="58"/>
      <c r="JW18" s="58"/>
      <c r="JX18" s="58"/>
      <c r="JY18" s="58"/>
      <c r="JZ18" s="58"/>
      <c r="KA18" s="58"/>
      <c r="KB18" s="58"/>
      <c r="KC18" s="58"/>
      <c r="KD18" s="58"/>
      <c r="KE18" s="58"/>
      <c r="KF18" s="58"/>
      <c r="KG18" s="58"/>
      <c r="KH18" s="58"/>
    </row>
    <row r="19" spans="1:309" s="30" customFormat="1" ht="15" thickBot="1" x14ac:dyDescent="0.35">
      <c r="A19" s="78" t="s">
        <v>645</v>
      </c>
      <c r="B19" s="78" t="s">
        <v>57</v>
      </c>
      <c r="C19" s="78" t="s">
        <v>25</v>
      </c>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68"/>
      <c r="BM19" s="66"/>
      <c r="BN19" s="66"/>
      <c r="BO19" s="66"/>
      <c r="BP19" s="66"/>
      <c r="BQ19" s="66"/>
      <c r="BR19" s="66"/>
      <c r="BS19" s="66"/>
      <c r="BT19" s="66"/>
      <c r="BU19" s="66"/>
      <c r="BV19" s="67"/>
      <c r="BW19" s="58"/>
      <c r="BX19" s="58"/>
      <c r="BY19" s="58"/>
      <c r="BZ19" s="58"/>
      <c r="CA19" s="58"/>
      <c r="CB19" s="58"/>
      <c r="CC19" s="58"/>
      <c r="CD19" s="58"/>
      <c r="CE19" s="58"/>
      <c r="CF19" s="58"/>
      <c r="CG19" s="58"/>
      <c r="CH19" s="58"/>
      <c r="CI19" s="58"/>
      <c r="CJ19" s="58"/>
      <c r="CK19" s="58"/>
      <c r="CL19" s="58"/>
      <c r="CM19" s="58"/>
      <c r="CN19" s="58"/>
      <c r="CO19" s="58"/>
      <c r="CP19" s="58"/>
      <c r="CQ19" s="58"/>
      <c r="CR19" s="58"/>
      <c r="CS19" s="58"/>
      <c r="CT19" s="58"/>
      <c r="CU19" s="58"/>
      <c r="CV19" s="58"/>
      <c r="CW19" s="58"/>
      <c r="CX19" s="58"/>
      <c r="CY19" s="58"/>
      <c r="CZ19" s="58"/>
      <c r="DA19" s="58"/>
      <c r="DB19" s="58"/>
      <c r="DC19" s="58"/>
      <c r="DD19" s="58"/>
      <c r="DE19" s="58"/>
      <c r="DF19" s="58"/>
      <c r="DG19" s="58"/>
      <c r="DH19" s="58"/>
      <c r="DI19" s="58"/>
      <c r="DJ19" s="58"/>
      <c r="DK19" s="58"/>
      <c r="DL19" s="58"/>
      <c r="DM19" s="58"/>
      <c r="DN19" s="58"/>
      <c r="DO19" s="58"/>
      <c r="DP19" s="58"/>
      <c r="DQ19" s="58"/>
      <c r="DR19" s="58"/>
      <c r="DS19" s="58"/>
      <c r="DT19" s="58"/>
      <c r="DU19" s="58"/>
      <c r="DV19" s="58"/>
      <c r="DW19" s="58"/>
      <c r="DX19" s="58"/>
      <c r="DY19" s="58"/>
      <c r="DZ19" s="58"/>
      <c r="EA19" s="58"/>
      <c r="EB19" s="58"/>
      <c r="EC19" s="58"/>
      <c r="ED19" s="58"/>
      <c r="EE19" s="58"/>
      <c r="EF19" s="58"/>
      <c r="EG19" s="58"/>
      <c r="EH19" s="79"/>
      <c r="EI19" s="58"/>
      <c r="EJ19" s="58"/>
      <c r="EK19" s="58"/>
      <c r="EL19" s="58"/>
      <c r="EM19" s="58"/>
      <c r="EN19" s="58"/>
      <c r="EO19" s="58"/>
      <c r="EP19" s="58"/>
      <c r="EQ19" s="58"/>
      <c r="ER19" s="58"/>
      <c r="ES19" s="58"/>
      <c r="ET19" s="58"/>
      <c r="EU19" s="58"/>
      <c r="EV19" s="58"/>
      <c r="EW19" s="58"/>
      <c r="EX19" s="58"/>
      <c r="EY19" s="58"/>
      <c r="EZ19" s="58"/>
      <c r="FA19" s="58"/>
      <c r="FB19" s="58"/>
      <c r="FC19" s="58"/>
      <c r="FD19" s="58"/>
      <c r="FE19" s="58"/>
      <c r="FF19" s="58"/>
      <c r="FG19" s="58"/>
      <c r="FH19" s="58"/>
      <c r="FI19" s="58"/>
      <c r="FJ19" s="58"/>
      <c r="FK19" s="58"/>
      <c r="FL19" s="58"/>
      <c r="FM19" s="58"/>
      <c r="FN19" s="58"/>
      <c r="FO19" s="58"/>
      <c r="FP19" s="58"/>
      <c r="FQ19" s="58"/>
      <c r="FR19" s="58"/>
      <c r="FS19" s="58"/>
      <c r="FT19" s="58"/>
      <c r="FU19" s="58"/>
      <c r="FV19" s="58"/>
      <c r="FW19" s="58"/>
      <c r="FX19" s="58"/>
      <c r="FY19" s="58"/>
      <c r="FZ19" s="58"/>
      <c r="GA19" s="58"/>
      <c r="GB19" s="58"/>
      <c r="GC19" s="58"/>
      <c r="GD19" s="58"/>
      <c r="GE19" s="58"/>
      <c r="GF19" s="58"/>
      <c r="GG19" s="58"/>
      <c r="GH19" s="58"/>
      <c r="GI19" s="58"/>
      <c r="GJ19" s="58"/>
      <c r="GK19" s="58"/>
      <c r="GL19" s="58"/>
      <c r="GM19" s="58"/>
      <c r="GN19" s="58"/>
      <c r="GO19" s="58"/>
      <c r="GP19" s="58"/>
      <c r="GQ19" s="58"/>
      <c r="GR19" s="58"/>
      <c r="GS19" s="58"/>
      <c r="GT19" s="58"/>
      <c r="GU19" s="58"/>
      <c r="GV19" s="58"/>
      <c r="GW19" s="58"/>
      <c r="GX19" s="58"/>
      <c r="GY19" s="58"/>
      <c r="GZ19" s="58"/>
      <c r="HA19" s="58"/>
      <c r="HB19" s="58"/>
      <c r="HC19" s="58"/>
      <c r="HD19" s="58"/>
      <c r="HE19" s="58"/>
      <c r="HF19" s="58"/>
      <c r="HG19" s="58"/>
      <c r="HH19" s="58"/>
      <c r="HI19" s="58"/>
      <c r="HJ19" s="58"/>
      <c r="HK19" s="58"/>
      <c r="HL19" s="58"/>
      <c r="HM19" s="58"/>
      <c r="HN19" s="58"/>
      <c r="HO19" s="58"/>
      <c r="HP19" s="58"/>
      <c r="HQ19" s="58"/>
      <c r="HR19" s="58"/>
      <c r="HS19" s="58"/>
      <c r="HT19" s="58"/>
      <c r="HU19" s="58"/>
      <c r="HV19" s="58"/>
      <c r="HW19" s="58"/>
      <c r="HX19" s="58"/>
      <c r="HY19" s="58"/>
      <c r="HZ19" s="58"/>
      <c r="IA19" s="58"/>
      <c r="IB19" s="58"/>
      <c r="IC19" s="58"/>
      <c r="ID19" s="58"/>
      <c r="IE19" s="58"/>
      <c r="IF19" s="58"/>
      <c r="IG19" s="58"/>
      <c r="IH19" s="58"/>
      <c r="II19" s="58"/>
      <c r="IJ19" s="58"/>
      <c r="IK19" s="58"/>
      <c r="IL19" s="58"/>
      <c r="IM19" s="58"/>
      <c r="KO19" s="84"/>
      <c r="KP19" s="85"/>
      <c r="KQ19" s="85"/>
      <c r="KR19" s="85"/>
      <c r="KS19" s="85"/>
      <c r="KT19" s="85"/>
      <c r="KU19" s="85"/>
      <c r="KV19" s="85"/>
      <c r="KW19" s="86"/>
    </row>
    <row r="20" spans="1:309" s="30" customFormat="1" ht="15" hidden="1" thickBot="1" x14ac:dyDescent="0.35">
      <c r="A20" s="78" t="s">
        <v>571</v>
      </c>
      <c r="B20" s="78" t="s">
        <v>58</v>
      </c>
      <c r="C20" s="78" t="s">
        <v>25</v>
      </c>
      <c r="E20" s="58"/>
      <c r="F20" s="58"/>
      <c r="G20" s="58"/>
      <c r="H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79"/>
      <c r="AY20" s="58"/>
      <c r="AZ20" s="58"/>
      <c r="BA20" s="58"/>
      <c r="BB20" s="58"/>
      <c r="BC20" s="58"/>
      <c r="BD20" s="58"/>
      <c r="BE20" s="58"/>
      <c r="BF20" s="58"/>
      <c r="BG20" s="58"/>
      <c r="BH20" s="58"/>
      <c r="BI20" s="58"/>
      <c r="BJ20" s="58"/>
      <c r="BK20" s="58"/>
      <c r="BL20" s="68"/>
      <c r="BM20" s="66"/>
      <c r="BN20" s="66"/>
      <c r="BO20" s="66"/>
      <c r="BP20" s="66"/>
      <c r="BQ20" s="66"/>
      <c r="BR20" s="66"/>
      <c r="BS20" s="66"/>
      <c r="BT20" s="66"/>
      <c r="BU20" s="66"/>
      <c r="BV20" s="67"/>
      <c r="BW20" s="58"/>
      <c r="BX20" s="58"/>
      <c r="BY20" s="58"/>
      <c r="BZ20" s="58"/>
      <c r="CA20" s="58"/>
      <c r="CB20" s="58"/>
      <c r="CC20" s="58"/>
      <c r="CD20" s="58"/>
      <c r="CE20" s="58"/>
      <c r="CF20" s="58"/>
      <c r="CG20" s="58"/>
      <c r="CH20" s="58"/>
      <c r="CI20" s="58"/>
      <c r="CJ20" s="58"/>
      <c r="CK20" s="58"/>
      <c r="CL20" s="58"/>
      <c r="CM20" s="58"/>
      <c r="CN20" s="58"/>
      <c r="CO20" s="58"/>
      <c r="CP20" s="58"/>
      <c r="CQ20" s="58"/>
      <c r="CR20" s="58"/>
      <c r="CS20" s="58"/>
      <c r="CT20" s="58"/>
      <c r="CU20" s="58"/>
      <c r="CV20" s="58"/>
      <c r="CW20" s="58"/>
      <c r="CX20" s="58"/>
      <c r="CY20" s="58"/>
      <c r="CZ20" s="58"/>
      <c r="DA20" s="58"/>
      <c r="DB20" s="58"/>
      <c r="DC20" s="58"/>
      <c r="DD20" s="58"/>
      <c r="DE20" s="58"/>
      <c r="DF20" s="58"/>
      <c r="DG20" s="58"/>
      <c r="DH20" s="58"/>
      <c r="DI20" s="58"/>
      <c r="DJ20" s="58"/>
      <c r="DK20" s="58"/>
      <c r="DL20" s="58"/>
      <c r="DM20" s="58"/>
      <c r="DN20" s="58"/>
      <c r="DO20" s="58"/>
      <c r="DP20" s="58"/>
      <c r="DQ20" s="58"/>
      <c r="DR20" s="58"/>
      <c r="DS20" s="58"/>
      <c r="DT20" s="58"/>
      <c r="DU20" s="58"/>
      <c r="DV20" s="58"/>
      <c r="DW20" s="58"/>
      <c r="DX20" s="58"/>
      <c r="DY20" s="58"/>
      <c r="DZ20" s="58"/>
      <c r="EA20" s="58"/>
      <c r="EB20" s="58"/>
      <c r="EC20" s="58"/>
      <c r="ED20" s="58"/>
      <c r="EE20" s="58"/>
      <c r="EF20" s="58"/>
      <c r="EG20" s="58"/>
      <c r="EH20" s="58"/>
      <c r="EI20" s="58"/>
      <c r="EJ20" s="58"/>
      <c r="EK20" s="58"/>
      <c r="EL20" s="58"/>
      <c r="EM20" s="58"/>
      <c r="EN20" s="58"/>
      <c r="EO20" s="58"/>
      <c r="EP20" s="58"/>
      <c r="EQ20" s="58"/>
      <c r="ER20" s="58"/>
      <c r="ES20" s="58"/>
      <c r="ET20" s="58"/>
      <c r="EU20" s="58"/>
      <c r="EV20" s="58"/>
      <c r="EW20" s="58"/>
      <c r="EX20" s="58"/>
      <c r="EY20" s="58"/>
      <c r="EZ20" s="58"/>
      <c r="FA20" s="58"/>
      <c r="FB20" s="58"/>
      <c r="FC20" s="58"/>
      <c r="FD20" s="58"/>
      <c r="FE20" s="58"/>
      <c r="FF20" s="58"/>
      <c r="FG20" s="58"/>
      <c r="FH20" s="58"/>
      <c r="FI20" s="58"/>
      <c r="FJ20" s="58"/>
      <c r="FK20" s="58"/>
      <c r="FL20" s="58"/>
      <c r="FM20" s="58"/>
      <c r="FN20" s="58"/>
      <c r="FO20" s="58"/>
      <c r="FP20" s="58"/>
      <c r="FQ20" s="58"/>
      <c r="FR20" s="58"/>
      <c r="FS20" s="58"/>
      <c r="FT20" s="58"/>
      <c r="FU20" s="58"/>
      <c r="FV20" s="58"/>
      <c r="FW20" s="58"/>
      <c r="FX20" s="58"/>
      <c r="FY20" s="58"/>
      <c r="FZ20" s="58"/>
      <c r="GA20" s="58"/>
      <c r="GB20" s="58"/>
      <c r="GC20" s="58"/>
      <c r="GD20" s="58"/>
      <c r="GE20" s="58"/>
      <c r="GF20" s="58"/>
      <c r="GG20" s="58"/>
      <c r="GH20" s="58"/>
      <c r="GI20" s="58"/>
      <c r="GJ20" s="58"/>
      <c r="GK20" s="58"/>
      <c r="GL20" s="58"/>
      <c r="GM20" s="58"/>
      <c r="GN20" s="58"/>
      <c r="GO20" s="58"/>
      <c r="GP20" s="58"/>
      <c r="GQ20" s="58"/>
      <c r="GR20" s="58"/>
      <c r="GS20" s="58"/>
      <c r="GT20" s="58"/>
      <c r="GU20" s="58"/>
      <c r="GV20" s="58"/>
      <c r="GW20" s="58"/>
      <c r="GX20" s="58"/>
      <c r="GY20" s="58"/>
      <c r="GZ20" s="58"/>
      <c r="HA20" s="58"/>
      <c r="HB20" s="58"/>
      <c r="HC20" s="58"/>
      <c r="HD20" s="58"/>
      <c r="HE20" s="58"/>
      <c r="HF20" s="58"/>
      <c r="HG20" s="58"/>
      <c r="HH20" s="58"/>
      <c r="HI20" s="58"/>
      <c r="HJ20" s="58"/>
      <c r="HK20" s="58"/>
      <c r="HL20" s="58"/>
      <c r="HM20" s="58"/>
      <c r="HN20" s="58"/>
      <c r="HO20" s="58"/>
      <c r="HP20" s="58"/>
      <c r="HQ20" s="58"/>
      <c r="HR20" s="58"/>
      <c r="HS20" s="58"/>
      <c r="HT20" s="58"/>
      <c r="HU20" s="58"/>
      <c r="HV20" s="58"/>
      <c r="HW20" s="58"/>
      <c r="HX20" s="58"/>
      <c r="HY20" s="58"/>
      <c r="HZ20" s="58"/>
      <c r="IA20" s="58"/>
      <c r="IB20" s="58"/>
      <c r="IC20" s="58"/>
      <c r="ID20" s="58"/>
      <c r="IE20" s="58"/>
      <c r="IF20" s="58"/>
      <c r="IG20" s="58"/>
      <c r="IH20" s="58"/>
      <c r="II20" s="58"/>
      <c r="IJ20" s="58"/>
      <c r="IK20" s="58"/>
      <c r="IL20" s="58"/>
      <c r="IM20" s="58"/>
      <c r="KO20" s="84"/>
      <c r="KP20" s="85"/>
      <c r="KQ20" s="85"/>
      <c r="KR20" s="85"/>
      <c r="KS20" s="85"/>
      <c r="KT20" s="85"/>
      <c r="KU20" s="85"/>
      <c r="KV20" s="85"/>
      <c r="KW20" s="86"/>
    </row>
    <row r="21" spans="1:309" s="30" customFormat="1" ht="15" thickBot="1" x14ac:dyDescent="0.35">
      <c r="A21" s="154" t="s">
        <v>650</v>
      </c>
      <c r="B21" s="154" t="s">
        <v>51</v>
      </c>
      <c r="C21" s="154" t="s">
        <v>14</v>
      </c>
      <c r="E21" s="58"/>
      <c r="F21" s="58"/>
      <c r="G21" s="58"/>
      <c r="H21" s="58"/>
      <c r="I21" s="58"/>
      <c r="J21" s="58"/>
      <c r="K21" s="58"/>
      <c r="L21" s="58"/>
      <c r="M21" s="58"/>
      <c r="N21" s="58"/>
      <c r="O21" s="58"/>
      <c r="P21" s="58"/>
      <c r="Q21" s="58"/>
      <c r="R21" s="58"/>
      <c r="S21" s="58"/>
      <c r="T21" s="58"/>
      <c r="U21" s="58"/>
      <c r="V21" s="68"/>
      <c r="W21" s="66"/>
      <c r="X21" s="66"/>
      <c r="Y21" s="66"/>
      <c r="Z21" s="66"/>
      <c r="AA21" s="66"/>
      <c r="AB21" s="67"/>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c r="BA21" s="58"/>
      <c r="BB21" s="58"/>
      <c r="BC21" s="58"/>
      <c r="BD21" s="153"/>
      <c r="BE21" s="153"/>
      <c r="BF21" s="153"/>
      <c r="BG21" s="153"/>
      <c r="BH21" s="153"/>
      <c r="BI21" s="153"/>
      <c r="BJ21" s="153"/>
      <c r="BK21" s="153"/>
      <c r="BL21" s="153"/>
      <c r="BM21" s="153"/>
      <c r="BN21" s="153"/>
      <c r="BO21" s="153"/>
      <c r="BP21" s="153"/>
      <c r="BQ21" s="153"/>
      <c r="BR21" s="153"/>
      <c r="BS21" s="153"/>
      <c r="BT21" s="153"/>
      <c r="BU21" s="153"/>
      <c r="BV21" s="153"/>
      <c r="BW21" s="153"/>
      <c r="BX21" s="153"/>
      <c r="BY21" s="153"/>
      <c r="BZ21" s="153"/>
      <c r="CA21" s="153"/>
      <c r="CB21" s="153"/>
      <c r="CC21" s="184"/>
      <c r="CD21" s="185"/>
      <c r="CE21" s="185"/>
      <c r="CF21" s="185"/>
      <c r="CG21" s="186"/>
      <c r="CH21" s="153"/>
      <c r="CI21" s="153"/>
      <c r="CJ21" s="153"/>
      <c r="CK21" s="153"/>
      <c r="CL21" s="153"/>
      <c r="CM21" s="153"/>
      <c r="CN21" s="153"/>
      <c r="CO21" s="153"/>
      <c r="CP21" s="153"/>
      <c r="CQ21" s="153"/>
      <c r="CR21" s="153"/>
      <c r="CS21" s="153"/>
      <c r="CT21" s="153"/>
      <c r="CU21" s="153"/>
      <c r="CV21" s="153"/>
      <c r="CW21" s="155"/>
      <c r="CX21" s="58"/>
      <c r="CY21" s="58"/>
      <c r="CZ21" s="58"/>
      <c r="DA21" s="58"/>
      <c r="DB21" s="58"/>
      <c r="DC21" s="58"/>
      <c r="DD21" s="58"/>
      <c r="DE21" s="58"/>
      <c r="DF21" s="58"/>
      <c r="DG21" s="58"/>
      <c r="DH21" s="58"/>
      <c r="DI21" s="58"/>
      <c r="DJ21" s="58"/>
      <c r="DK21" s="58"/>
      <c r="DL21" s="58"/>
      <c r="DM21" s="58"/>
      <c r="DN21" s="58"/>
      <c r="DO21" s="58"/>
      <c r="DP21" s="58"/>
      <c r="DQ21" s="58"/>
      <c r="DR21" s="58"/>
      <c r="DS21" s="58"/>
      <c r="DT21" s="58"/>
      <c r="DU21" s="58"/>
      <c r="DV21" s="58"/>
      <c r="DW21" s="58"/>
      <c r="DX21" s="58"/>
      <c r="DY21" s="58"/>
      <c r="DZ21" s="58"/>
      <c r="EA21" s="58"/>
      <c r="EB21" s="58"/>
      <c r="EC21" s="58"/>
      <c r="ED21" s="58"/>
      <c r="EE21" s="58"/>
      <c r="EF21" s="58"/>
      <c r="EG21" s="58"/>
      <c r="EH21" s="58"/>
      <c r="EI21" s="58"/>
      <c r="EJ21" s="58"/>
      <c r="EK21" s="58"/>
      <c r="EL21" s="58"/>
      <c r="EM21" s="58"/>
      <c r="EN21" s="58"/>
      <c r="EO21" s="58"/>
      <c r="EP21" s="58"/>
      <c r="EQ21" s="58"/>
      <c r="ER21" s="58"/>
      <c r="ES21" s="58"/>
      <c r="ET21" s="58"/>
      <c r="EU21" s="58"/>
      <c r="EV21" s="58"/>
      <c r="EW21" s="58"/>
      <c r="EX21" s="58"/>
      <c r="EY21" s="58"/>
      <c r="EZ21" s="58"/>
      <c r="FA21" s="58"/>
      <c r="FB21" s="58"/>
      <c r="FC21" s="58"/>
      <c r="FD21" s="58"/>
      <c r="FE21" s="58"/>
      <c r="FF21" s="58"/>
      <c r="FG21" s="58"/>
      <c r="FH21" s="58"/>
      <c r="FI21" s="58"/>
      <c r="FJ21" s="58"/>
      <c r="FK21" s="58"/>
      <c r="FL21" s="58"/>
      <c r="FM21" s="58"/>
      <c r="FN21" s="58"/>
      <c r="FO21" s="58"/>
      <c r="FP21" s="58"/>
      <c r="FQ21" s="58"/>
      <c r="FR21" s="58"/>
      <c r="FS21" s="58"/>
      <c r="FT21" s="58"/>
      <c r="FU21" s="58"/>
      <c r="FV21" s="58"/>
      <c r="FW21" s="58"/>
      <c r="FX21" s="58"/>
      <c r="FY21" s="58"/>
      <c r="FZ21" s="58"/>
      <c r="GA21" s="58"/>
      <c r="GB21" s="58"/>
      <c r="GC21" s="58"/>
      <c r="GD21" s="58"/>
      <c r="GE21" s="58"/>
      <c r="GF21" s="58"/>
      <c r="GG21" s="58"/>
      <c r="GH21" s="58"/>
      <c r="GI21" s="58"/>
      <c r="GJ21" s="58"/>
      <c r="GK21" s="58"/>
      <c r="GL21" s="58"/>
      <c r="GM21" s="58"/>
      <c r="GN21" s="58"/>
      <c r="GO21" s="58"/>
      <c r="GP21" s="58"/>
      <c r="GQ21" s="58"/>
      <c r="GR21" s="58"/>
      <c r="GS21" s="58"/>
      <c r="GT21" s="58"/>
      <c r="GU21" s="58"/>
      <c r="GV21" s="58"/>
      <c r="GW21" s="58"/>
      <c r="GX21" s="58"/>
      <c r="GY21" s="58"/>
      <c r="GZ21" s="58"/>
      <c r="HA21" s="58"/>
      <c r="HB21" s="58"/>
      <c r="HC21" s="58"/>
      <c r="HD21" s="58"/>
      <c r="HE21" s="58"/>
      <c r="HF21" s="58"/>
      <c r="HG21" s="58"/>
      <c r="HH21" s="58"/>
      <c r="HI21" s="58"/>
      <c r="HJ21" s="58"/>
      <c r="HK21" s="58"/>
      <c r="HL21" s="58"/>
      <c r="HM21" s="58"/>
      <c r="HN21" s="58"/>
      <c r="HO21" s="58"/>
      <c r="HP21" s="58"/>
      <c r="HQ21" s="58"/>
      <c r="HR21" s="58"/>
      <c r="HS21" s="58"/>
      <c r="HT21" s="58"/>
      <c r="HU21" s="58"/>
      <c r="HV21" s="58"/>
      <c r="HW21" s="58"/>
      <c r="HX21" s="58"/>
      <c r="HY21" s="58"/>
      <c r="HZ21" s="58"/>
      <c r="IA21" s="58"/>
      <c r="IB21" s="58"/>
      <c r="IC21" s="58"/>
      <c r="ID21" s="58"/>
      <c r="IE21" s="58"/>
      <c r="IF21" s="58"/>
      <c r="IG21" s="58"/>
      <c r="IH21" s="58"/>
      <c r="II21" s="58"/>
      <c r="IJ21" s="58"/>
      <c r="IK21" s="58"/>
      <c r="IL21" s="58"/>
      <c r="IM21" s="58"/>
    </row>
    <row r="22" spans="1:309" s="30" customFormat="1" ht="15" thickBot="1" x14ac:dyDescent="0.35">
      <c r="A22" s="154" t="s">
        <v>650</v>
      </c>
      <c r="B22" s="154" t="s">
        <v>51</v>
      </c>
      <c r="C22" s="154" t="s">
        <v>14</v>
      </c>
      <c r="E22" s="58"/>
      <c r="F22" s="58"/>
      <c r="G22" s="58"/>
      <c r="H22" s="58"/>
      <c r="I22" s="58"/>
      <c r="J22" s="58"/>
      <c r="K22" s="58"/>
      <c r="L22" s="58"/>
      <c r="M22" s="58"/>
      <c r="N22" s="58"/>
      <c r="O22" s="58"/>
      <c r="P22" s="58"/>
      <c r="Q22" s="58"/>
      <c r="R22" s="58"/>
      <c r="S22" s="58"/>
      <c r="T22" s="58"/>
      <c r="U22" s="58"/>
      <c r="V22" s="68"/>
      <c r="W22" s="66"/>
      <c r="X22" s="66"/>
      <c r="Y22" s="66"/>
      <c r="Z22" s="66"/>
      <c r="AA22" s="66"/>
      <c r="AB22" s="67"/>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58"/>
      <c r="BO22" s="58"/>
      <c r="BP22" s="58"/>
      <c r="BQ22" s="58"/>
      <c r="BR22" s="58"/>
      <c r="BS22" s="58"/>
      <c r="BT22" s="58"/>
      <c r="BU22" s="58"/>
      <c r="BV22" s="58"/>
      <c r="BW22" s="58"/>
      <c r="BX22" s="58"/>
      <c r="BY22" s="58"/>
      <c r="BZ22" s="58"/>
      <c r="CA22" s="58"/>
      <c r="CB22" s="58"/>
      <c r="CC22" s="68"/>
      <c r="CD22" s="66"/>
      <c r="CE22" s="66"/>
      <c r="CF22" s="66"/>
      <c r="CG22" s="67"/>
      <c r="CH22" s="58"/>
      <c r="CI22" s="58"/>
      <c r="CJ22" s="58"/>
      <c r="CK22" s="58"/>
      <c r="CL22" s="58"/>
      <c r="CM22" s="58"/>
      <c r="CN22" s="58"/>
      <c r="CO22" s="58"/>
      <c r="CP22" s="58"/>
      <c r="CQ22" s="58"/>
      <c r="CR22" s="58"/>
      <c r="CS22" s="58"/>
      <c r="CT22" s="58"/>
      <c r="CU22" s="58"/>
      <c r="CV22" s="58"/>
      <c r="CW22" s="153"/>
      <c r="CX22" s="153"/>
      <c r="CY22" s="153"/>
      <c r="CZ22" s="153"/>
      <c r="DA22" s="153"/>
      <c r="DB22" s="153"/>
      <c r="DC22" s="153"/>
      <c r="DD22" s="153"/>
      <c r="DE22" s="153"/>
      <c r="DF22" s="153"/>
      <c r="DG22" s="153"/>
      <c r="DH22" s="153"/>
      <c r="DI22" s="153"/>
      <c r="DJ22" s="153"/>
      <c r="DK22" s="153"/>
      <c r="DL22" s="153"/>
      <c r="DM22" s="153"/>
      <c r="DN22" s="153"/>
      <c r="DO22" s="153"/>
      <c r="DP22" s="153"/>
      <c r="DQ22" s="153"/>
      <c r="DR22" s="153"/>
      <c r="DS22" s="153"/>
      <c r="DT22" s="153"/>
      <c r="DU22" s="153"/>
      <c r="DV22" s="153"/>
      <c r="DW22" s="153"/>
      <c r="DX22" s="153"/>
      <c r="DY22" s="153"/>
      <c r="DZ22" s="153"/>
      <c r="EA22" s="153"/>
      <c r="EB22" s="153"/>
      <c r="EC22" s="153"/>
      <c r="ED22" s="153"/>
      <c r="EE22" s="153"/>
      <c r="EF22" s="153"/>
      <c r="EG22" s="153"/>
      <c r="EH22" s="153"/>
      <c r="EI22" s="58"/>
      <c r="EJ22" s="58"/>
      <c r="EK22" s="58"/>
      <c r="EL22" s="58"/>
      <c r="EM22" s="58"/>
      <c r="EN22" s="58"/>
      <c r="EO22" s="58"/>
      <c r="EP22" s="58"/>
      <c r="EQ22" s="58"/>
      <c r="ER22" s="58"/>
      <c r="ES22" s="58"/>
      <c r="ET22" s="58"/>
      <c r="EU22" s="58"/>
      <c r="EV22" s="58"/>
      <c r="EW22" s="58"/>
      <c r="EX22" s="58"/>
      <c r="EY22" s="58"/>
      <c r="EZ22" s="58"/>
      <c r="FA22" s="58"/>
      <c r="FB22" s="58"/>
      <c r="FC22" s="58"/>
      <c r="FD22" s="58"/>
      <c r="FE22" s="58"/>
      <c r="FF22" s="58"/>
      <c r="FG22" s="58"/>
      <c r="FH22" s="58"/>
      <c r="FI22" s="58"/>
      <c r="FJ22" s="58"/>
      <c r="FK22" s="58"/>
      <c r="FL22" s="58"/>
      <c r="FM22" s="58"/>
      <c r="FN22" s="58"/>
      <c r="FO22" s="58"/>
      <c r="FP22" s="58"/>
      <c r="FQ22" s="58"/>
      <c r="FR22" s="58"/>
      <c r="FS22" s="58"/>
      <c r="FT22" s="58"/>
      <c r="FU22" s="58"/>
      <c r="FV22" s="58"/>
      <c r="FW22" s="58"/>
      <c r="FX22" s="58"/>
      <c r="FY22" s="58"/>
      <c r="FZ22" s="58"/>
      <c r="GA22" s="58"/>
      <c r="GB22" s="58"/>
      <c r="GC22" s="58"/>
      <c r="GD22" s="58"/>
      <c r="GE22" s="58"/>
      <c r="GF22" s="58"/>
      <c r="GG22" s="58"/>
      <c r="GH22" s="58"/>
      <c r="GI22" s="58"/>
      <c r="GJ22" s="58"/>
      <c r="GK22" s="58"/>
      <c r="GL22" s="58"/>
      <c r="GM22" s="58"/>
      <c r="GN22" s="58"/>
      <c r="GO22" s="58"/>
      <c r="GP22" s="58"/>
      <c r="GQ22" s="58"/>
      <c r="GR22" s="58"/>
      <c r="GS22" s="58"/>
      <c r="GT22" s="58"/>
      <c r="GU22" s="58"/>
      <c r="GV22" s="58"/>
      <c r="GW22" s="58"/>
      <c r="GX22" s="58"/>
      <c r="GY22" s="58"/>
      <c r="GZ22" s="58"/>
      <c r="HA22" s="58"/>
      <c r="HB22" s="58"/>
      <c r="HC22" s="58"/>
      <c r="HD22" s="58"/>
      <c r="HE22" s="58"/>
      <c r="HF22" s="58"/>
      <c r="HG22" s="58"/>
      <c r="HH22" s="58"/>
      <c r="HI22" s="58"/>
      <c r="HJ22" s="58"/>
      <c r="HK22" s="58"/>
      <c r="HL22" s="58"/>
      <c r="HM22" s="58"/>
      <c r="HN22" s="58"/>
      <c r="HO22" s="58"/>
      <c r="HP22" s="58"/>
      <c r="HQ22" s="58"/>
      <c r="HR22" s="58"/>
      <c r="HS22" s="58"/>
      <c r="HT22" s="58"/>
      <c r="HU22" s="58"/>
      <c r="HV22" s="58"/>
      <c r="HW22" s="58"/>
      <c r="HX22" s="58"/>
      <c r="HY22" s="58"/>
      <c r="HZ22" s="58"/>
      <c r="IA22" s="58"/>
      <c r="IB22" s="58"/>
      <c r="IC22" s="58"/>
      <c r="ID22" s="58"/>
      <c r="IE22" s="58"/>
      <c r="IF22" s="58"/>
      <c r="IG22" s="58"/>
      <c r="IH22" s="58"/>
      <c r="II22" s="58"/>
      <c r="IJ22" s="58"/>
      <c r="IK22" s="58"/>
      <c r="IL22" s="58"/>
      <c r="IM22" s="58"/>
    </row>
    <row r="23" spans="1:309" s="30" customFormat="1" ht="15" thickBot="1" x14ac:dyDescent="0.35">
      <c r="A23" s="154" t="s">
        <v>650</v>
      </c>
      <c r="B23" s="154" t="s">
        <v>51</v>
      </c>
      <c r="C23" s="154" t="s">
        <v>14</v>
      </c>
      <c r="E23" s="58"/>
      <c r="F23" s="58"/>
      <c r="G23" s="58"/>
      <c r="H23" s="58"/>
      <c r="I23" s="58"/>
      <c r="J23" s="58"/>
      <c r="K23" s="58"/>
      <c r="L23" s="58"/>
      <c r="M23" s="58"/>
      <c r="N23" s="58"/>
      <c r="O23" s="58"/>
      <c r="P23" s="58"/>
      <c r="Q23" s="58"/>
      <c r="R23" s="58"/>
      <c r="S23" s="58"/>
      <c r="T23" s="58"/>
      <c r="U23" s="58"/>
      <c r="V23" s="68"/>
      <c r="W23" s="66"/>
      <c r="X23" s="66"/>
      <c r="Y23" s="66"/>
      <c r="Z23" s="66"/>
      <c r="AA23" s="66"/>
      <c r="AB23" s="67"/>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68"/>
      <c r="CD23" s="66"/>
      <c r="CE23" s="66"/>
      <c r="CF23" s="66"/>
      <c r="CG23" s="67"/>
      <c r="CH23" s="58"/>
      <c r="CI23" s="58"/>
      <c r="CJ23" s="58"/>
      <c r="CK23" s="58"/>
      <c r="CL23" s="58"/>
      <c r="CM23" s="58"/>
      <c r="CN23" s="58"/>
      <c r="CO23" s="58"/>
      <c r="CP23" s="58"/>
      <c r="CQ23" s="58"/>
      <c r="CR23" s="58"/>
      <c r="CS23" s="58"/>
      <c r="CT23" s="58"/>
      <c r="CU23" s="58"/>
      <c r="CV23" s="58"/>
      <c r="CW23" s="58"/>
      <c r="CX23" s="58"/>
      <c r="CY23" s="58"/>
      <c r="CZ23" s="58"/>
      <c r="DA23" s="58"/>
      <c r="DB23" s="58"/>
      <c r="DC23" s="58"/>
      <c r="DD23" s="58"/>
      <c r="DE23" s="58"/>
      <c r="DF23" s="58"/>
      <c r="DG23" s="58"/>
      <c r="DH23" s="58"/>
      <c r="DI23" s="58"/>
      <c r="DJ23" s="58"/>
      <c r="DK23" s="58"/>
      <c r="DL23" s="58"/>
      <c r="DM23" s="58"/>
      <c r="DN23" s="58"/>
      <c r="DO23" s="58"/>
      <c r="DP23" s="58"/>
      <c r="DQ23" s="58"/>
      <c r="DR23" s="58"/>
      <c r="DS23" s="58"/>
      <c r="DT23" s="58"/>
      <c r="DU23" s="58"/>
      <c r="DV23" s="58"/>
      <c r="DW23" s="58"/>
      <c r="DX23" s="58"/>
      <c r="DY23" s="58"/>
      <c r="DZ23" s="58"/>
      <c r="EA23" s="58"/>
      <c r="EB23" s="58"/>
      <c r="EC23" s="58"/>
      <c r="ED23" s="58"/>
      <c r="EE23" s="58"/>
      <c r="EF23" s="58"/>
      <c r="EG23" s="58"/>
      <c r="EH23" s="58"/>
      <c r="EI23" s="58"/>
      <c r="EJ23" s="58"/>
      <c r="EK23" s="58"/>
      <c r="EL23" s="58"/>
      <c r="EM23" s="58"/>
      <c r="EN23" s="153"/>
      <c r="EO23" s="153"/>
      <c r="EP23" s="153"/>
      <c r="EQ23" s="153"/>
      <c r="ER23" s="153"/>
      <c r="ES23" s="153"/>
      <c r="ET23" s="153"/>
      <c r="EU23" s="153"/>
      <c r="EV23" s="153"/>
      <c r="EW23" s="153"/>
      <c r="EX23" s="153"/>
      <c r="EY23" s="153"/>
      <c r="EZ23" s="153"/>
      <c r="FA23" s="153"/>
      <c r="FB23" s="153"/>
      <c r="FC23" s="153"/>
      <c r="FD23" s="153"/>
      <c r="FE23" s="153"/>
      <c r="FF23" s="153"/>
      <c r="FG23" s="153"/>
      <c r="FH23" s="153"/>
      <c r="FI23" s="153"/>
      <c r="FJ23" s="153"/>
      <c r="FK23" s="153"/>
      <c r="FL23" s="153"/>
      <c r="FM23" s="153"/>
      <c r="FN23" s="58"/>
      <c r="FO23" s="58"/>
      <c r="FP23" s="58"/>
      <c r="FQ23" s="58"/>
      <c r="FR23" s="58"/>
      <c r="FS23" s="58"/>
      <c r="FT23" s="58"/>
      <c r="FU23" s="58"/>
      <c r="FV23" s="58"/>
      <c r="FW23" s="58"/>
      <c r="FX23" s="58"/>
      <c r="FY23" s="58"/>
      <c r="FZ23" s="58"/>
      <c r="GA23" s="58"/>
      <c r="GB23" s="58"/>
      <c r="GC23" s="58"/>
      <c r="GD23" s="58"/>
      <c r="GE23" s="58"/>
      <c r="GF23" s="58"/>
      <c r="GG23" s="58"/>
      <c r="GH23" s="58"/>
      <c r="GI23" s="58"/>
      <c r="GJ23" s="58"/>
      <c r="GK23" s="58"/>
      <c r="GL23" s="58"/>
      <c r="GM23" s="58"/>
      <c r="GN23" s="58"/>
      <c r="GO23" s="58"/>
      <c r="GP23" s="58"/>
      <c r="GQ23" s="58"/>
      <c r="GR23" s="58"/>
      <c r="GS23" s="58"/>
      <c r="GT23" s="58"/>
      <c r="GU23" s="58"/>
      <c r="GV23" s="58"/>
      <c r="GW23" s="58"/>
      <c r="GX23" s="58"/>
      <c r="GY23" s="58"/>
      <c r="GZ23" s="58"/>
      <c r="HA23" s="58"/>
      <c r="HB23" s="58"/>
      <c r="HC23" s="58"/>
      <c r="HD23" s="58"/>
      <c r="HE23" s="58"/>
      <c r="HF23" s="58"/>
      <c r="HG23" s="58"/>
      <c r="HH23" s="58"/>
      <c r="HI23" s="58"/>
      <c r="HJ23" s="58"/>
      <c r="HK23" s="58"/>
      <c r="HL23" s="58"/>
      <c r="HM23" s="58"/>
      <c r="HN23" s="58"/>
      <c r="HO23" s="58"/>
      <c r="HP23" s="58"/>
      <c r="HQ23" s="58"/>
      <c r="HR23" s="58"/>
      <c r="HS23" s="58"/>
      <c r="HT23" s="58"/>
      <c r="HU23" s="58"/>
      <c r="HV23" s="58"/>
      <c r="HW23" s="58"/>
      <c r="HX23" s="58"/>
      <c r="HY23" s="58"/>
      <c r="HZ23" s="58"/>
      <c r="IA23" s="58"/>
      <c r="IB23" s="58"/>
      <c r="IC23" s="58"/>
      <c r="ID23" s="58"/>
      <c r="IE23" s="58"/>
      <c r="IF23" s="58"/>
      <c r="IG23" s="58"/>
      <c r="IH23" s="58"/>
      <c r="II23" s="58"/>
      <c r="IJ23" s="58"/>
      <c r="IK23" s="58"/>
      <c r="IL23" s="58"/>
      <c r="IM23" s="58"/>
    </row>
    <row r="24" spans="1:309" s="30" customFormat="1" ht="15" thickBot="1" x14ac:dyDescent="0.35">
      <c r="A24" s="166" t="s">
        <v>650</v>
      </c>
      <c r="B24" s="166" t="s">
        <v>51</v>
      </c>
      <c r="C24" s="166" t="s">
        <v>78</v>
      </c>
      <c r="E24" s="165"/>
      <c r="F24" s="165"/>
      <c r="G24" s="165"/>
      <c r="H24" s="165"/>
      <c r="I24" s="165"/>
      <c r="J24" s="165"/>
      <c r="K24" s="165"/>
      <c r="L24" s="165"/>
      <c r="M24" s="165"/>
      <c r="N24" s="165"/>
      <c r="O24" s="165"/>
      <c r="P24" s="165"/>
      <c r="Q24" s="165"/>
      <c r="R24" s="165"/>
      <c r="S24" s="165"/>
      <c r="T24" s="165"/>
      <c r="U24" s="165"/>
      <c r="V24" s="165"/>
      <c r="W24" s="165"/>
      <c r="X24" s="165"/>
      <c r="Y24" s="165"/>
      <c r="Z24" s="165"/>
      <c r="AA24" s="165"/>
      <c r="AB24" s="165"/>
      <c r="AC24" s="165"/>
      <c r="AD24" s="165"/>
      <c r="AE24" s="165"/>
      <c r="AF24" s="165"/>
      <c r="AG24" s="165"/>
      <c r="AH24" s="165"/>
      <c r="AI24" s="165"/>
      <c r="AJ24" s="165"/>
      <c r="AK24" s="165"/>
      <c r="AL24" s="165"/>
      <c r="AM24" s="165"/>
      <c r="AN24" s="165"/>
      <c r="AO24" s="165"/>
      <c r="AP24" s="165"/>
      <c r="AQ24" s="165"/>
      <c r="AR24" s="165"/>
      <c r="AS24" s="165"/>
      <c r="AT24" s="165"/>
      <c r="AU24" s="165"/>
      <c r="AV24" s="165"/>
      <c r="AW24" s="165"/>
      <c r="AX24" s="167"/>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W24" s="58"/>
      <c r="BX24" s="58"/>
      <c r="BY24" s="58"/>
      <c r="BZ24" s="58"/>
      <c r="CA24" s="58"/>
      <c r="CB24" s="58"/>
      <c r="CC24" s="58"/>
      <c r="CD24" s="58"/>
      <c r="CE24" s="58"/>
      <c r="CF24" s="58"/>
      <c r="CG24" s="58"/>
      <c r="CH24" s="58"/>
      <c r="CI24" s="58"/>
      <c r="CJ24" s="58"/>
      <c r="CK24" s="58"/>
      <c r="CL24" s="58"/>
      <c r="CM24" s="58"/>
      <c r="CN24" s="58"/>
      <c r="CO24" s="58"/>
      <c r="CP24" s="58"/>
      <c r="CQ24" s="58"/>
      <c r="CR24" s="58"/>
      <c r="CS24" s="58"/>
      <c r="CT24" s="58"/>
      <c r="CU24" s="58"/>
      <c r="CV24" s="58"/>
      <c r="CW24" s="58"/>
      <c r="CX24" s="58"/>
      <c r="CY24" s="58"/>
      <c r="CZ24" s="58"/>
      <c r="DA24" s="58"/>
      <c r="DB24" s="58"/>
      <c r="DC24" s="58"/>
      <c r="DD24" s="58"/>
      <c r="DE24" s="58"/>
      <c r="DF24" s="58"/>
      <c r="DG24" s="58"/>
      <c r="DH24" s="58"/>
      <c r="DI24" s="58"/>
      <c r="DJ24" s="58"/>
      <c r="DK24" s="58"/>
      <c r="DL24" s="58"/>
      <c r="DM24" s="58"/>
      <c r="DN24" s="58"/>
      <c r="DO24" s="58"/>
      <c r="DP24" s="58"/>
      <c r="DQ24" s="58"/>
      <c r="DR24" s="58"/>
      <c r="DS24" s="58"/>
      <c r="DT24" s="58"/>
      <c r="DU24" s="58"/>
      <c r="DV24" s="58"/>
      <c r="DW24" s="58"/>
      <c r="DX24" s="58"/>
      <c r="DY24" s="58"/>
      <c r="DZ24" s="58"/>
      <c r="EA24" s="58"/>
      <c r="EB24" s="58"/>
      <c r="EC24" s="58"/>
      <c r="ED24" s="58"/>
      <c r="EE24" s="58"/>
      <c r="EF24" s="58"/>
      <c r="EG24" s="58"/>
      <c r="EH24" s="58"/>
      <c r="EI24" s="58"/>
      <c r="EJ24" s="58"/>
      <c r="EK24" s="58"/>
      <c r="EL24" s="58"/>
      <c r="EM24" s="58"/>
      <c r="EN24" s="58"/>
      <c r="EO24" s="58"/>
      <c r="EP24" s="58"/>
      <c r="EQ24" s="58"/>
      <c r="ER24" s="58"/>
      <c r="ES24" s="58"/>
      <c r="ET24" s="58"/>
      <c r="EU24" s="58"/>
      <c r="EV24" s="58"/>
      <c r="EW24" s="58"/>
      <c r="EX24" s="58"/>
      <c r="EY24" s="58"/>
      <c r="EZ24" s="58"/>
      <c r="FA24" s="58"/>
      <c r="FB24" s="58"/>
      <c r="FC24" s="58"/>
      <c r="FD24" s="58"/>
      <c r="FE24" s="58"/>
      <c r="FF24" s="58"/>
      <c r="FG24" s="58"/>
      <c r="FH24" s="58"/>
      <c r="FI24" s="58"/>
      <c r="FJ24" s="58"/>
      <c r="FK24" s="58"/>
      <c r="FL24" s="58"/>
      <c r="FM24" s="58"/>
      <c r="FN24" s="58"/>
      <c r="FO24" s="58"/>
      <c r="FP24" s="58"/>
      <c r="FQ24" s="58"/>
      <c r="FR24" s="58"/>
      <c r="FS24" s="58"/>
      <c r="FT24" s="58"/>
      <c r="FU24" s="58"/>
      <c r="FV24" s="58"/>
      <c r="FW24" s="58"/>
      <c r="FX24" s="58"/>
      <c r="FY24" s="58"/>
      <c r="FZ24" s="58"/>
      <c r="GA24" s="58"/>
      <c r="GB24" s="58"/>
      <c r="GC24" s="58"/>
      <c r="GD24" s="58"/>
      <c r="GE24" s="58"/>
      <c r="GF24" s="58"/>
      <c r="GG24" s="58"/>
      <c r="GH24" s="58"/>
      <c r="GI24" s="58"/>
      <c r="GJ24" s="58"/>
      <c r="GK24" s="58"/>
      <c r="GL24" s="58"/>
      <c r="GM24" s="58"/>
      <c r="GN24" s="58"/>
      <c r="GO24" s="58"/>
      <c r="GP24" s="58"/>
      <c r="GQ24" s="58"/>
      <c r="GR24" s="58"/>
      <c r="GS24" s="58"/>
      <c r="GT24" s="58"/>
      <c r="GU24" s="58"/>
      <c r="GV24" s="58"/>
      <c r="GW24" s="58"/>
      <c r="GX24" s="58"/>
      <c r="GY24" s="58"/>
      <c r="GZ24" s="58"/>
      <c r="HA24" s="58"/>
      <c r="HB24" s="58"/>
      <c r="HC24" s="58"/>
      <c r="HD24" s="58"/>
      <c r="HE24" s="58"/>
      <c r="HF24" s="58"/>
      <c r="HG24" s="58"/>
      <c r="HH24" s="58"/>
      <c r="HI24" s="58"/>
      <c r="HJ24" s="58"/>
      <c r="HK24" s="58"/>
      <c r="HL24" s="58"/>
      <c r="HM24" s="58"/>
      <c r="HN24" s="58"/>
      <c r="HO24" s="58"/>
      <c r="HP24" s="58"/>
      <c r="HQ24" s="58"/>
      <c r="HR24" s="58"/>
      <c r="HS24" s="58"/>
      <c r="HT24" s="58"/>
      <c r="HU24" s="58"/>
      <c r="HV24" s="58"/>
      <c r="HW24" s="58"/>
      <c r="HX24" s="58"/>
      <c r="HY24" s="58"/>
      <c r="HZ24" s="58"/>
      <c r="IA24" s="58"/>
      <c r="IB24" s="58"/>
      <c r="IC24" s="58"/>
      <c r="ID24" s="58"/>
      <c r="IE24" s="58"/>
      <c r="IF24" s="58"/>
      <c r="IG24" s="58"/>
      <c r="IH24" s="58"/>
      <c r="II24" s="58"/>
      <c r="IJ24" s="58"/>
      <c r="IK24" s="58"/>
      <c r="IL24" s="58"/>
      <c r="IM24" s="58"/>
      <c r="IN24" s="58"/>
      <c r="IO24" s="58"/>
      <c r="IP24" s="58"/>
      <c r="IQ24" s="58"/>
      <c r="IR24" s="58"/>
      <c r="IS24" s="58"/>
      <c r="IT24" s="58"/>
      <c r="IU24" s="58"/>
      <c r="IV24" s="58"/>
      <c r="IW24" s="58"/>
      <c r="IX24" s="58"/>
      <c r="IY24" s="58"/>
      <c r="IZ24" s="58"/>
      <c r="JA24" s="58"/>
      <c r="JB24" s="58"/>
      <c r="JC24" s="58"/>
      <c r="JD24" s="58"/>
      <c r="JE24" s="58"/>
      <c r="JF24" s="58"/>
      <c r="JG24" s="58"/>
      <c r="JH24" s="58"/>
      <c r="JI24" s="58"/>
      <c r="JJ24" s="58"/>
      <c r="JK24" s="58"/>
      <c r="JL24" s="58"/>
      <c r="JM24" s="58"/>
      <c r="JN24" s="58"/>
      <c r="JO24" s="58"/>
      <c r="JP24" s="58"/>
      <c r="JQ24" s="58"/>
      <c r="JR24" s="58"/>
      <c r="JS24" s="58"/>
      <c r="JT24" s="58"/>
      <c r="JU24" s="58"/>
      <c r="JV24" s="58"/>
      <c r="JW24" s="58"/>
      <c r="JX24" s="58"/>
      <c r="JY24" s="58"/>
      <c r="JZ24" s="58"/>
      <c r="KA24" s="58"/>
      <c r="KB24" s="58"/>
      <c r="KC24" s="58"/>
      <c r="KD24" s="58"/>
      <c r="KE24" s="58"/>
      <c r="KF24" s="58"/>
      <c r="KG24" s="58"/>
      <c r="KH24" s="58"/>
      <c r="KI24" s="58"/>
      <c r="KJ24" s="58"/>
      <c r="KK24" s="58"/>
      <c r="KL24" s="58"/>
      <c r="KM24" s="58"/>
      <c r="KN24" s="58"/>
      <c r="KO24" s="58"/>
    </row>
    <row r="25" spans="1:309" s="30" customFormat="1" ht="15" thickBot="1" x14ac:dyDescent="0.35">
      <c r="A25" s="168" t="s">
        <v>650</v>
      </c>
      <c r="B25" s="168" t="s">
        <v>53</v>
      </c>
      <c r="C25" s="168" t="s">
        <v>224</v>
      </c>
      <c r="E25" s="68"/>
      <c r="F25" s="66"/>
      <c r="G25" s="66"/>
      <c r="H25" s="67"/>
      <c r="I25" s="58"/>
      <c r="J25" s="58"/>
      <c r="K25" s="58" t="s">
        <v>263</v>
      </c>
      <c r="L25" s="58" t="s">
        <v>263</v>
      </c>
      <c r="M25" s="58" t="s">
        <v>263</v>
      </c>
      <c r="N25" s="58" t="s">
        <v>263</v>
      </c>
      <c r="O25" s="58" t="s">
        <v>263</v>
      </c>
      <c r="P25" s="58" t="s">
        <v>263</v>
      </c>
      <c r="Q25" s="58" t="s">
        <v>263</v>
      </c>
      <c r="R25" s="58" t="s">
        <v>263</v>
      </c>
      <c r="S25" s="58" t="s">
        <v>263</v>
      </c>
      <c r="T25" s="58" t="s">
        <v>263</v>
      </c>
      <c r="U25" s="58" t="s">
        <v>263</v>
      </c>
      <c r="V25" s="58" t="s">
        <v>263</v>
      </c>
      <c r="W25" s="58" t="s">
        <v>263</v>
      </c>
      <c r="X25" s="58" t="s">
        <v>263</v>
      </c>
      <c r="Y25" s="58" t="s">
        <v>263</v>
      </c>
      <c r="Z25" s="58" t="s">
        <v>263</v>
      </c>
      <c r="AA25" s="58" t="s">
        <v>263</v>
      </c>
      <c r="AB25" s="58" t="s">
        <v>263</v>
      </c>
      <c r="AC25" s="58" t="s">
        <v>263</v>
      </c>
      <c r="AD25" s="58" t="s">
        <v>263</v>
      </c>
      <c r="AE25" s="58" t="s">
        <v>263</v>
      </c>
      <c r="AF25" s="58" t="s">
        <v>263</v>
      </c>
      <c r="AG25" s="58" t="s">
        <v>263</v>
      </c>
      <c r="AH25" s="58" t="s">
        <v>263</v>
      </c>
      <c r="AI25" s="58" t="s">
        <v>263</v>
      </c>
      <c r="AJ25" s="58" t="s">
        <v>263</v>
      </c>
      <c r="AK25" s="58" t="s">
        <v>263</v>
      </c>
      <c r="AL25" s="58" t="s">
        <v>263</v>
      </c>
      <c r="AM25" s="58" t="s">
        <v>263</v>
      </c>
      <c r="AN25" s="58" t="s">
        <v>263</v>
      </c>
      <c r="AO25" s="58" t="s">
        <v>263</v>
      </c>
      <c r="AP25" s="58" t="s">
        <v>263</v>
      </c>
      <c r="AQ25" s="58" t="s">
        <v>263</v>
      </c>
      <c r="AR25" s="58" t="s">
        <v>263</v>
      </c>
      <c r="AS25" s="58" t="s">
        <v>263</v>
      </c>
      <c r="AT25" s="58" t="s">
        <v>263</v>
      </c>
      <c r="AU25" s="58" t="s">
        <v>263</v>
      </c>
      <c r="AV25" s="58" t="s">
        <v>263</v>
      </c>
      <c r="AW25" s="58" t="s">
        <v>263</v>
      </c>
      <c r="AX25" s="169" t="s">
        <v>263</v>
      </c>
      <c r="AY25" s="169" t="s">
        <v>263</v>
      </c>
      <c r="AZ25" s="169" t="s">
        <v>263</v>
      </c>
      <c r="BA25" s="169" t="s">
        <v>263</v>
      </c>
      <c r="BB25" s="169" t="s">
        <v>263</v>
      </c>
      <c r="BC25" s="169" t="s">
        <v>263</v>
      </c>
      <c r="BD25" s="169" t="s">
        <v>263</v>
      </c>
      <c r="BE25" s="169" t="s">
        <v>263</v>
      </c>
      <c r="BF25" s="169" t="s">
        <v>263</v>
      </c>
      <c r="BG25" s="169" t="s">
        <v>263</v>
      </c>
      <c r="BH25" s="169" t="s">
        <v>263</v>
      </c>
      <c r="BI25" s="169" t="s">
        <v>263</v>
      </c>
      <c r="BJ25" s="169" t="s">
        <v>263</v>
      </c>
      <c r="BK25" s="169" t="s">
        <v>263</v>
      </c>
      <c r="BL25" s="169" t="s">
        <v>263</v>
      </c>
      <c r="BM25" s="169" t="s">
        <v>263</v>
      </c>
      <c r="BN25" s="169" t="s">
        <v>263</v>
      </c>
      <c r="BO25" s="169" t="s">
        <v>263</v>
      </c>
      <c r="BP25" s="169" t="s">
        <v>263</v>
      </c>
      <c r="BQ25" s="169" t="s">
        <v>263</v>
      </c>
      <c r="BR25" s="169" t="s">
        <v>263</v>
      </c>
      <c r="BS25" s="169" t="s">
        <v>263</v>
      </c>
      <c r="BT25" s="169" t="s">
        <v>263</v>
      </c>
      <c r="BU25" s="169" t="s">
        <v>263</v>
      </c>
      <c r="BV25" s="169" t="s">
        <v>263</v>
      </c>
      <c r="BW25" s="169" t="s">
        <v>263</v>
      </c>
      <c r="BX25" s="169" t="s">
        <v>263</v>
      </c>
      <c r="BY25" s="169" t="s">
        <v>263</v>
      </c>
      <c r="BZ25" s="169" t="s">
        <v>263</v>
      </c>
      <c r="CA25" s="169" t="s">
        <v>263</v>
      </c>
      <c r="CB25" s="169" t="s">
        <v>263</v>
      </c>
      <c r="CC25" s="169" t="s">
        <v>263</v>
      </c>
      <c r="CD25" s="169" t="s">
        <v>263</v>
      </c>
      <c r="CE25" s="169" t="s">
        <v>263</v>
      </c>
      <c r="CF25" s="169" t="s">
        <v>263</v>
      </c>
      <c r="CG25" s="169" t="s">
        <v>263</v>
      </c>
      <c r="CH25" s="169" t="s">
        <v>263</v>
      </c>
      <c r="CI25" s="169" t="s">
        <v>263</v>
      </c>
      <c r="CJ25" s="169" t="s">
        <v>263</v>
      </c>
      <c r="CK25" s="169" t="s">
        <v>263</v>
      </c>
      <c r="CL25" s="169" t="s">
        <v>263</v>
      </c>
      <c r="CM25" s="169" t="s">
        <v>263</v>
      </c>
      <c r="CN25" s="169" t="s">
        <v>263</v>
      </c>
      <c r="CO25" s="169"/>
      <c r="CP25" s="169"/>
      <c r="CQ25" s="169"/>
      <c r="CR25" s="169"/>
      <c r="CS25" s="58"/>
      <c r="CT25" s="58"/>
      <c r="CU25" s="58"/>
      <c r="CV25" s="58"/>
      <c r="CW25" s="58"/>
      <c r="CX25" s="58"/>
      <c r="CY25" s="58"/>
      <c r="CZ25" s="58"/>
      <c r="DA25" s="58"/>
      <c r="DB25" s="58"/>
      <c r="DC25" s="58"/>
      <c r="DD25" s="58"/>
      <c r="DE25" s="58"/>
      <c r="DF25" s="58"/>
      <c r="DG25" s="58"/>
      <c r="DH25" s="58"/>
      <c r="DI25" s="58"/>
      <c r="DJ25" s="58"/>
      <c r="DK25" s="58"/>
      <c r="DL25" s="58"/>
      <c r="DM25" s="58"/>
      <c r="DN25" s="58"/>
      <c r="DO25" s="58"/>
      <c r="DP25" s="58"/>
      <c r="DQ25" s="58"/>
      <c r="DR25" s="58"/>
      <c r="DS25" s="58"/>
      <c r="DT25" s="58"/>
      <c r="DU25" s="58"/>
      <c r="DV25" s="58"/>
      <c r="DW25" s="58"/>
      <c r="DX25" s="58"/>
      <c r="DY25" s="58"/>
      <c r="DZ25" s="58"/>
      <c r="EA25" s="58"/>
      <c r="EB25" s="58"/>
      <c r="EC25" s="58"/>
      <c r="ED25" s="58"/>
      <c r="EE25" s="58"/>
      <c r="EF25" s="58"/>
      <c r="EG25" s="58"/>
      <c r="EH25" s="58"/>
      <c r="EI25" s="58"/>
      <c r="EJ25" s="58"/>
      <c r="EK25" s="58"/>
      <c r="EL25" s="58"/>
      <c r="EM25" s="58"/>
      <c r="EN25" s="58"/>
      <c r="EO25" s="58"/>
      <c r="EP25" s="58"/>
      <c r="EQ25" s="58"/>
      <c r="ER25" s="58"/>
      <c r="ES25" s="58"/>
      <c r="ET25" s="58"/>
      <c r="EU25" s="58"/>
      <c r="EV25" s="58"/>
      <c r="EW25" s="58"/>
      <c r="EX25" s="58"/>
      <c r="EY25" s="58"/>
      <c r="EZ25" s="58"/>
      <c r="FA25" s="58"/>
      <c r="FB25" s="58"/>
      <c r="FC25" s="58"/>
      <c r="FD25" s="58"/>
      <c r="FE25" s="58"/>
      <c r="FF25" s="58"/>
      <c r="FG25" s="58"/>
      <c r="FH25" s="58"/>
      <c r="FI25" s="58"/>
      <c r="FJ25" s="58"/>
      <c r="FK25" s="58"/>
      <c r="FL25" s="58"/>
      <c r="FM25" s="58"/>
      <c r="FN25" s="58"/>
      <c r="FO25" s="58"/>
      <c r="FP25" s="58"/>
      <c r="FQ25" s="58"/>
      <c r="FR25" s="58"/>
      <c r="FS25" s="58"/>
      <c r="FT25" s="58"/>
      <c r="FU25" s="58"/>
      <c r="FV25" s="58"/>
      <c r="FW25" s="58"/>
      <c r="FX25" s="58"/>
      <c r="FY25" s="58"/>
      <c r="FZ25" s="58"/>
      <c r="GA25" s="58"/>
      <c r="GB25" s="58"/>
      <c r="GC25" s="58"/>
      <c r="GD25" s="58"/>
      <c r="GE25" s="58"/>
      <c r="GF25" s="58"/>
      <c r="GG25" s="58"/>
      <c r="GH25" s="58"/>
      <c r="GI25" s="58"/>
      <c r="GJ25" s="58"/>
      <c r="GK25" s="58"/>
      <c r="GL25" s="58"/>
      <c r="GM25" s="58"/>
      <c r="GN25" s="58"/>
      <c r="GO25" s="58"/>
      <c r="GP25" s="58"/>
      <c r="GQ25" s="58"/>
      <c r="GR25" s="58"/>
      <c r="GS25" s="58"/>
      <c r="GT25" s="58"/>
      <c r="GU25" s="58"/>
      <c r="GV25" s="58"/>
      <c r="GW25" s="58"/>
      <c r="GX25" s="58"/>
      <c r="GY25" s="58"/>
      <c r="GZ25" s="58"/>
      <c r="HA25" s="58"/>
      <c r="HB25" s="58"/>
      <c r="HC25" s="58"/>
      <c r="HD25" s="58"/>
      <c r="HE25" s="58"/>
      <c r="HF25" s="58"/>
      <c r="HG25" s="58"/>
      <c r="HH25" s="58"/>
      <c r="HI25" s="58"/>
      <c r="HJ25" s="58"/>
      <c r="HK25" s="58"/>
      <c r="HL25" s="58"/>
      <c r="HM25" s="58"/>
      <c r="HN25" s="58"/>
      <c r="HO25" s="58"/>
      <c r="HP25" s="58"/>
      <c r="HQ25" s="58"/>
      <c r="HR25" s="58"/>
      <c r="HS25" s="58"/>
      <c r="HT25" s="58"/>
      <c r="HU25" s="58"/>
      <c r="HV25" s="58"/>
      <c r="HW25" s="58"/>
      <c r="HX25" s="58"/>
      <c r="HY25" s="58"/>
      <c r="HZ25" s="58"/>
      <c r="IA25" s="58"/>
      <c r="IB25" s="58"/>
      <c r="IC25" s="58"/>
      <c r="ID25" s="58"/>
      <c r="IE25" s="58"/>
      <c r="IF25" s="58"/>
    </row>
    <row r="26" spans="1:309" s="30" customFormat="1" ht="15" thickBot="1" x14ac:dyDescent="0.35">
      <c r="A26" s="171" t="s">
        <v>650</v>
      </c>
      <c r="B26" s="171" t="s">
        <v>54</v>
      </c>
      <c r="C26" s="171" t="s">
        <v>18</v>
      </c>
      <c r="E26" s="58"/>
      <c r="F26" s="58"/>
      <c r="G26" s="58"/>
      <c r="H26" s="58"/>
      <c r="I26" s="58"/>
      <c r="J26" s="58"/>
      <c r="K26" s="58"/>
      <c r="L26" s="58"/>
      <c r="M26" s="58"/>
      <c r="N26" s="58"/>
      <c r="O26" s="58"/>
      <c r="P26" s="58"/>
      <c r="Q26" s="58"/>
      <c r="R26" s="68"/>
      <c r="S26" s="66"/>
      <c r="T26" s="66"/>
      <c r="U26" s="66"/>
      <c r="V26" s="66"/>
      <c r="W26" s="66"/>
      <c r="X26" s="66"/>
      <c r="Y26" s="66"/>
      <c r="Z26" s="66"/>
      <c r="AA26" s="66"/>
      <c r="AB26" s="176"/>
      <c r="AC26" s="170"/>
      <c r="AD26" s="170"/>
      <c r="AE26" s="170"/>
      <c r="AF26" s="170"/>
      <c r="AG26" s="170"/>
      <c r="AH26" s="170"/>
      <c r="AI26" s="170"/>
      <c r="AJ26" s="170"/>
      <c r="AK26" s="170"/>
      <c r="AL26" s="170"/>
      <c r="AM26" s="170"/>
      <c r="AN26" s="170"/>
      <c r="AO26" s="170"/>
      <c r="AP26" s="170"/>
      <c r="AQ26" s="170"/>
      <c r="AR26" s="170"/>
      <c r="AS26" s="170"/>
      <c r="AT26" s="170"/>
      <c r="AU26" s="170"/>
      <c r="AV26" s="170"/>
      <c r="AW26" s="170"/>
      <c r="AX26" s="170"/>
      <c r="AY26" s="170"/>
      <c r="AZ26" s="170"/>
      <c r="BA26" s="170"/>
      <c r="BB26" s="170"/>
      <c r="BC26" s="170"/>
      <c r="BD26" s="170"/>
      <c r="BE26" s="170"/>
      <c r="BF26" s="170"/>
      <c r="BG26" s="170"/>
      <c r="BH26" s="170"/>
      <c r="BI26" s="170"/>
      <c r="BJ26" s="170"/>
      <c r="BK26" s="170"/>
      <c r="BL26" s="170"/>
      <c r="BM26" s="170"/>
      <c r="BN26" s="172"/>
      <c r="BO26" s="172"/>
      <c r="BP26" s="172"/>
      <c r="BQ26" s="172"/>
      <c r="BR26" s="172"/>
      <c r="BS26" s="172"/>
      <c r="BT26" s="172"/>
      <c r="BU26" s="172"/>
      <c r="BV26" s="172"/>
      <c r="BW26" s="172"/>
      <c r="BX26" s="172"/>
      <c r="BY26" s="172"/>
      <c r="BZ26" s="172"/>
      <c r="CA26" s="172"/>
      <c r="CB26" s="172"/>
      <c r="CC26" s="172"/>
      <c r="CD26" s="172"/>
      <c r="CE26" s="172"/>
      <c r="CF26" s="172"/>
      <c r="CG26" s="172"/>
      <c r="CH26" s="172"/>
      <c r="CI26" s="172"/>
      <c r="CJ26" s="172"/>
      <c r="CK26" s="172"/>
      <c r="CL26" s="172"/>
      <c r="CM26" s="172"/>
      <c r="CN26" s="172"/>
      <c r="CO26" s="172"/>
      <c r="CP26" s="172"/>
      <c r="CQ26" s="172"/>
      <c r="CR26" s="172"/>
      <c r="CS26" s="172"/>
      <c r="CT26" s="172"/>
      <c r="CU26" s="58"/>
      <c r="CV26" s="58"/>
      <c r="CW26" s="58"/>
      <c r="CX26" s="58"/>
      <c r="CY26" s="58"/>
      <c r="CZ26" s="58"/>
      <c r="DA26" s="58"/>
      <c r="DB26" s="58"/>
      <c r="DC26" s="58"/>
      <c r="DD26" s="58"/>
      <c r="DE26" s="58"/>
      <c r="DF26" s="58"/>
      <c r="DG26" s="58"/>
      <c r="DH26" s="58"/>
      <c r="DI26" s="58"/>
      <c r="DJ26" s="58"/>
      <c r="DK26" s="58"/>
      <c r="DL26" s="58"/>
      <c r="DM26" s="58"/>
      <c r="DN26" s="58"/>
      <c r="DO26" s="58"/>
      <c r="DP26" s="58"/>
      <c r="DQ26" s="58"/>
      <c r="DR26" s="58"/>
      <c r="DS26" s="58"/>
      <c r="DT26" s="58"/>
      <c r="DU26" s="58"/>
      <c r="DV26" s="58"/>
      <c r="DW26" s="58"/>
      <c r="DX26" s="58"/>
      <c r="DY26" s="58"/>
      <c r="DZ26" s="58"/>
      <c r="EA26" s="58"/>
      <c r="EB26" s="58"/>
      <c r="EC26" s="58"/>
      <c r="ED26" s="58"/>
      <c r="EE26" s="58"/>
      <c r="EF26" s="58"/>
      <c r="EG26" s="58"/>
      <c r="EH26" s="58"/>
      <c r="EI26" s="58"/>
      <c r="EJ26" s="58"/>
      <c r="EK26" s="58"/>
      <c r="EL26" s="58"/>
      <c r="EM26" s="58"/>
      <c r="EN26" s="58"/>
      <c r="EO26" s="58"/>
      <c r="EP26" s="58"/>
      <c r="EQ26" s="58"/>
      <c r="ER26" s="58"/>
      <c r="ES26" s="58"/>
      <c r="ET26" s="58"/>
      <c r="EU26" s="58"/>
      <c r="EV26" s="58"/>
      <c r="EW26" s="58"/>
      <c r="EX26" s="58"/>
      <c r="EY26" s="58"/>
      <c r="EZ26" s="58"/>
      <c r="FA26" s="58"/>
      <c r="FB26" s="58"/>
      <c r="FC26" s="58"/>
      <c r="FD26" s="58"/>
      <c r="FE26" s="58"/>
      <c r="FF26" s="58"/>
      <c r="FG26" s="58"/>
      <c r="FH26" s="58"/>
      <c r="FI26" s="58"/>
      <c r="FJ26" s="58"/>
      <c r="FK26" s="58"/>
      <c r="FL26" s="58"/>
      <c r="FM26" s="58"/>
      <c r="FN26" s="58"/>
      <c r="FO26" s="58"/>
      <c r="FP26" s="58"/>
      <c r="FQ26" s="58"/>
      <c r="FR26" s="58"/>
      <c r="FS26" s="58"/>
      <c r="FT26" s="58"/>
      <c r="FU26" s="58"/>
      <c r="FV26" s="58"/>
      <c r="FW26" s="58"/>
      <c r="FX26" s="58"/>
      <c r="FY26" s="58"/>
      <c r="FZ26" s="58"/>
      <c r="GA26" s="58"/>
      <c r="GB26" s="58"/>
      <c r="GC26" s="58"/>
      <c r="GD26" s="58"/>
      <c r="GE26" s="58"/>
      <c r="GF26" s="58"/>
      <c r="GG26" s="58"/>
      <c r="GH26" s="58"/>
      <c r="GI26" s="58"/>
      <c r="GJ26" s="58"/>
      <c r="GK26" s="58"/>
      <c r="GL26" s="58"/>
      <c r="GM26" s="58"/>
      <c r="GN26" s="58"/>
      <c r="GO26" s="58"/>
      <c r="GP26" s="58"/>
      <c r="GQ26" s="58"/>
      <c r="GR26" s="58"/>
      <c r="GS26" s="58"/>
      <c r="GT26" s="58"/>
      <c r="GU26" s="58"/>
      <c r="GV26" s="58"/>
      <c r="GW26" s="58"/>
      <c r="GX26" s="58"/>
      <c r="GY26" s="58"/>
      <c r="GZ26" s="58"/>
      <c r="HA26" s="58"/>
      <c r="HB26" s="58"/>
      <c r="HC26" s="58"/>
      <c r="HD26" s="58"/>
      <c r="HE26" s="58"/>
      <c r="HF26" s="58"/>
      <c r="HG26" s="58"/>
      <c r="HH26" s="58"/>
      <c r="HI26" s="58"/>
      <c r="HJ26" s="58"/>
      <c r="HK26" s="58"/>
      <c r="HL26" s="58"/>
      <c r="HM26" s="58"/>
      <c r="HN26" s="58"/>
      <c r="HO26" s="58"/>
      <c r="HP26" s="58"/>
      <c r="HQ26" s="58"/>
      <c r="HR26" s="58"/>
      <c r="HS26" s="58"/>
      <c r="HT26" s="58"/>
      <c r="HU26" s="58"/>
      <c r="HV26" s="58"/>
      <c r="HW26" s="58"/>
      <c r="HX26" s="58"/>
      <c r="HY26" s="58"/>
      <c r="HZ26" s="58"/>
      <c r="IA26" s="58"/>
      <c r="IB26" s="58"/>
      <c r="IC26" s="58"/>
      <c r="ID26" s="58"/>
      <c r="IE26" s="58"/>
      <c r="IF26" s="58"/>
      <c r="IG26" s="58"/>
      <c r="IH26" s="58"/>
      <c r="II26" s="58"/>
      <c r="IJ26" s="58"/>
      <c r="IK26" s="58"/>
      <c r="IL26" s="58"/>
      <c r="IM26" s="58"/>
      <c r="IN26" s="58"/>
      <c r="IO26" s="58"/>
      <c r="IP26" s="58"/>
      <c r="IQ26" s="58"/>
      <c r="IR26" s="58"/>
      <c r="IS26" s="58"/>
      <c r="IT26" s="58"/>
      <c r="IU26" s="58"/>
      <c r="IV26" s="58"/>
      <c r="IW26" s="58"/>
      <c r="IX26" s="58"/>
      <c r="IY26" s="58"/>
      <c r="IZ26" s="58"/>
      <c r="JA26" s="58"/>
      <c r="JB26" s="58"/>
      <c r="JC26" s="58"/>
      <c r="JD26" s="58"/>
      <c r="JE26" s="58"/>
      <c r="JF26" s="58"/>
      <c r="JG26" s="58"/>
      <c r="JH26" s="58"/>
      <c r="JI26" s="58"/>
      <c r="JJ26" s="58"/>
      <c r="JK26" s="58"/>
      <c r="JL26" s="58"/>
      <c r="JM26" s="58"/>
      <c r="JN26" s="58"/>
      <c r="JO26" s="58"/>
      <c r="JP26" s="58"/>
      <c r="JQ26" s="58"/>
      <c r="JR26" s="58"/>
      <c r="JS26" s="58"/>
      <c r="JT26" s="58"/>
      <c r="JU26" s="58"/>
      <c r="JV26" s="58"/>
      <c r="JW26" s="58"/>
      <c r="JX26" s="58"/>
      <c r="JY26" s="58"/>
      <c r="JZ26" s="58"/>
      <c r="KA26" s="58"/>
    </row>
    <row r="27" spans="1:309" s="30" customFormat="1" ht="15" thickBot="1" x14ac:dyDescent="0.35">
      <c r="A27" s="37" t="s">
        <v>650</v>
      </c>
      <c r="B27" s="37" t="s">
        <v>81</v>
      </c>
      <c r="C27" s="37" t="s">
        <v>10</v>
      </c>
      <c r="E27" s="58"/>
      <c r="F27" s="58"/>
      <c r="G27" s="58"/>
      <c r="H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74"/>
      <c r="BO27" s="74"/>
      <c r="BP27" s="74"/>
      <c r="BQ27" s="74"/>
      <c r="BR27" s="74"/>
      <c r="BS27" s="74"/>
      <c r="BT27" s="74"/>
      <c r="BU27" s="74"/>
      <c r="BV27" s="74"/>
      <c r="BW27" s="74"/>
      <c r="BX27" s="74"/>
      <c r="BY27" s="74"/>
      <c r="BZ27" s="74"/>
      <c r="CA27" s="74"/>
      <c r="CB27" s="74"/>
      <c r="CC27" s="74"/>
      <c r="CD27" s="74"/>
      <c r="CE27" s="74"/>
      <c r="CF27" s="161"/>
      <c r="CG27" s="162"/>
      <c r="CH27" s="162"/>
      <c r="CI27" s="162"/>
      <c r="CJ27" s="162"/>
      <c r="CK27" s="162"/>
      <c r="CL27" s="162"/>
      <c r="CM27" s="162"/>
      <c r="CN27" s="163"/>
      <c r="CO27" s="74"/>
      <c r="CP27" s="74"/>
      <c r="CQ27" s="74"/>
      <c r="CR27" s="74"/>
      <c r="CS27" s="74"/>
      <c r="CT27" s="148"/>
      <c r="CU27" s="148"/>
      <c r="CV27" s="148"/>
      <c r="CW27" s="148"/>
      <c r="CX27" s="148"/>
      <c r="CY27" s="148"/>
      <c r="CZ27" s="148"/>
      <c r="DA27" s="148"/>
      <c r="DB27" s="148"/>
      <c r="DC27" s="148"/>
      <c r="DD27" s="148"/>
      <c r="DE27" s="148"/>
      <c r="DF27" s="148"/>
      <c r="DG27" s="148"/>
      <c r="DH27" s="148"/>
      <c r="DI27" s="148"/>
      <c r="DJ27" s="148"/>
      <c r="DK27" s="148"/>
      <c r="DL27" s="148"/>
      <c r="DM27" s="148"/>
      <c r="DN27" s="148"/>
      <c r="DO27" s="148"/>
      <c r="DP27" s="148"/>
      <c r="DQ27" s="148"/>
      <c r="DR27" s="148"/>
      <c r="DS27" s="148"/>
      <c r="DT27" s="148"/>
      <c r="DU27" s="148"/>
      <c r="DV27" s="148"/>
      <c r="DW27" s="148"/>
      <c r="DX27" s="148"/>
      <c r="DY27" s="148"/>
      <c r="DZ27" s="148"/>
      <c r="EA27" s="148"/>
      <c r="EB27" s="148"/>
      <c r="EC27" s="58"/>
      <c r="ED27" s="58"/>
      <c r="EE27" s="58"/>
      <c r="EF27" s="58"/>
      <c r="EG27" s="58"/>
      <c r="EH27" s="58"/>
      <c r="EI27" s="58"/>
      <c r="EJ27" s="58"/>
      <c r="EK27" s="58"/>
      <c r="EL27" s="58"/>
      <c r="EM27" s="58"/>
      <c r="EN27" s="58"/>
      <c r="EO27" s="58"/>
      <c r="EP27" s="58"/>
      <c r="EQ27" s="58"/>
      <c r="ER27" s="58"/>
      <c r="ES27" s="58"/>
      <c r="ET27" s="58"/>
      <c r="EU27" s="58"/>
      <c r="EV27" s="58"/>
      <c r="EW27" s="58"/>
      <c r="EX27" s="58"/>
      <c r="EY27" s="58"/>
      <c r="EZ27" s="58"/>
      <c r="FA27" s="58"/>
      <c r="FB27" s="58"/>
      <c r="FC27" s="58"/>
      <c r="FD27" s="58"/>
      <c r="FE27" s="58"/>
      <c r="FF27" s="58"/>
      <c r="FG27" s="58"/>
      <c r="FH27" s="58"/>
      <c r="FI27" s="58"/>
      <c r="FJ27" s="58"/>
      <c r="FK27" s="58"/>
      <c r="FL27" s="58"/>
      <c r="FM27" s="58"/>
      <c r="FN27" s="58"/>
      <c r="FO27" s="58"/>
      <c r="FP27" s="58"/>
      <c r="FQ27" s="58"/>
      <c r="FR27" s="58"/>
      <c r="FS27" s="58"/>
      <c r="FT27" s="58"/>
      <c r="FU27" s="58"/>
      <c r="FV27" s="58"/>
      <c r="FW27" s="58"/>
      <c r="FX27" s="58"/>
      <c r="FY27" s="58"/>
      <c r="FZ27" s="58"/>
      <c r="GA27" s="58"/>
      <c r="GB27" s="58"/>
      <c r="GC27" s="58"/>
      <c r="GD27" s="58"/>
      <c r="GE27" s="58"/>
      <c r="GF27" s="58"/>
      <c r="GG27" s="58"/>
      <c r="GH27" s="58"/>
      <c r="GI27" s="58"/>
      <c r="GJ27" s="58"/>
      <c r="GK27" s="58"/>
      <c r="GL27" s="58"/>
      <c r="GM27" s="58"/>
      <c r="GN27" s="58"/>
      <c r="GO27" s="58"/>
      <c r="GP27" s="58"/>
      <c r="GQ27" s="58"/>
      <c r="GR27" s="58"/>
      <c r="GS27" s="58"/>
      <c r="GT27" s="58"/>
      <c r="GU27" s="58"/>
      <c r="GV27" s="58"/>
      <c r="GW27" s="58"/>
      <c r="GX27" s="58"/>
      <c r="GY27" s="58"/>
      <c r="GZ27" s="58"/>
      <c r="HA27" s="58"/>
      <c r="HB27" s="58"/>
      <c r="HC27" s="58"/>
      <c r="HD27" s="58"/>
      <c r="HE27" s="58"/>
      <c r="HF27" s="58"/>
      <c r="HG27" s="58"/>
      <c r="HH27" s="58"/>
      <c r="HI27" s="58"/>
      <c r="HJ27" s="58"/>
      <c r="HK27" s="58"/>
      <c r="HL27" s="58"/>
      <c r="HM27" s="58"/>
      <c r="HN27" s="58"/>
      <c r="HO27" s="58"/>
      <c r="HP27" s="58"/>
      <c r="HQ27" s="58"/>
      <c r="HR27" s="58"/>
      <c r="HS27" s="58"/>
      <c r="HT27" s="58"/>
      <c r="HU27" s="58"/>
      <c r="HV27" s="58"/>
      <c r="HW27" s="58"/>
      <c r="HX27" s="58"/>
      <c r="HY27" s="58"/>
      <c r="HZ27" s="58"/>
      <c r="IA27" s="58"/>
      <c r="IB27" s="58"/>
      <c r="IC27" s="58"/>
      <c r="ID27" s="58"/>
      <c r="IE27" s="58"/>
      <c r="IF27" s="58"/>
      <c r="IG27" s="58"/>
      <c r="IH27" s="58"/>
      <c r="II27" s="58"/>
      <c r="IJ27" s="58"/>
      <c r="IK27" s="58"/>
      <c r="IL27" s="58"/>
      <c r="IM27" s="58"/>
    </row>
    <row r="28" spans="1:309" s="30" customFormat="1" ht="15" thickBot="1" x14ac:dyDescent="0.35">
      <c r="A28" s="19" t="s">
        <v>650</v>
      </c>
      <c r="B28" s="19" t="s">
        <v>55</v>
      </c>
      <c r="C28" s="19" t="s">
        <v>22</v>
      </c>
      <c r="E28" s="58"/>
      <c r="F28" s="58"/>
      <c r="G28" s="58"/>
      <c r="H28" s="58"/>
      <c r="I28" s="58"/>
      <c r="J28" s="58"/>
      <c r="K28" s="58"/>
      <c r="L28" s="58"/>
      <c r="M28" s="68"/>
      <c r="N28" s="66"/>
      <c r="O28" s="66"/>
      <c r="P28" s="66"/>
      <c r="Q28" s="66"/>
      <c r="R28" s="67"/>
      <c r="S28" s="68"/>
      <c r="T28" s="66"/>
      <c r="U28" s="66"/>
      <c r="V28" s="66"/>
      <c r="W28" s="66"/>
      <c r="X28" s="66"/>
      <c r="Y28" s="66"/>
      <c r="Z28" s="66"/>
      <c r="AA28" s="66"/>
      <c r="AB28" s="66"/>
      <c r="AC28" s="67"/>
      <c r="AD28" s="58"/>
      <c r="AE28" s="58"/>
      <c r="AF28" s="59" t="s">
        <v>263</v>
      </c>
      <c r="AG28" s="59" t="s">
        <v>263</v>
      </c>
      <c r="AH28" s="59" t="s">
        <v>263</v>
      </c>
      <c r="AI28" s="59" t="s">
        <v>263</v>
      </c>
      <c r="AJ28" s="59" t="s">
        <v>263</v>
      </c>
      <c r="AK28" s="59" t="s">
        <v>263</v>
      </c>
      <c r="AL28" s="59" t="s">
        <v>263</v>
      </c>
      <c r="AM28" s="59" t="s">
        <v>263</v>
      </c>
      <c r="AN28" s="59" t="s">
        <v>263</v>
      </c>
      <c r="AO28" s="59" t="s">
        <v>263</v>
      </c>
      <c r="AP28" s="59" t="s">
        <v>263</v>
      </c>
      <c r="AQ28" s="59" t="s">
        <v>263</v>
      </c>
      <c r="AR28" s="59" t="s">
        <v>263</v>
      </c>
      <c r="AS28" s="59" t="s">
        <v>263</v>
      </c>
      <c r="AT28" s="59" t="s">
        <v>263</v>
      </c>
      <c r="AU28" s="59" t="s">
        <v>263</v>
      </c>
      <c r="AV28" s="59" t="s">
        <v>263</v>
      </c>
      <c r="AW28" s="59" t="s">
        <v>263</v>
      </c>
      <c r="AX28" s="59" t="s">
        <v>263</v>
      </c>
      <c r="AY28" s="59" t="s">
        <v>263</v>
      </c>
      <c r="AZ28" s="59" t="s">
        <v>263</v>
      </c>
      <c r="BA28" s="59" t="s">
        <v>263</v>
      </c>
      <c r="BB28" s="59" t="s">
        <v>263</v>
      </c>
      <c r="BC28" s="59" t="s">
        <v>263</v>
      </c>
      <c r="BD28" s="59" t="s">
        <v>263</v>
      </c>
      <c r="BE28" s="59" t="s">
        <v>263</v>
      </c>
      <c r="BF28" s="59" t="s">
        <v>263</v>
      </c>
      <c r="BG28" s="59" t="s">
        <v>263</v>
      </c>
      <c r="BH28" s="59" t="s">
        <v>263</v>
      </c>
      <c r="BI28" s="59" t="s">
        <v>263</v>
      </c>
      <c r="BJ28" s="59" t="s">
        <v>263</v>
      </c>
      <c r="BK28" s="59" t="s">
        <v>263</v>
      </c>
      <c r="BL28" s="59" t="s">
        <v>263</v>
      </c>
      <c r="BM28" s="59" t="s">
        <v>263</v>
      </c>
      <c r="BN28" s="59" t="s">
        <v>263</v>
      </c>
      <c r="BO28" s="59" t="s">
        <v>263</v>
      </c>
      <c r="BP28" s="59" t="s">
        <v>263</v>
      </c>
      <c r="BQ28" s="59" t="s">
        <v>263</v>
      </c>
      <c r="BR28" s="59" t="s">
        <v>263</v>
      </c>
      <c r="BS28" s="59" t="s">
        <v>263</v>
      </c>
      <c r="BT28" s="59" t="s">
        <v>263</v>
      </c>
      <c r="BU28" s="59" t="s">
        <v>263</v>
      </c>
      <c r="BV28" s="59" t="s">
        <v>263</v>
      </c>
      <c r="BW28" s="59" t="s">
        <v>263</v>
      </c>
      <c r="BX28" s="59" t="s">
        <v>263</v>
      </c>
      <c r="BY28" s="59" t="s">
        <v>263</v>
      </c>
      <c r="BZ28" s="59" t="s">
        <v>263</v>
      </c>
      <c r="CA28" s="59" t="s">
        <v>263</v>
      </c>
      <c r="CB28" s="59" t="s">
        <v>263</v>
      </c>
      <c r="CC28" s="59" t="s">
        <v>263</v>
      </c>
      <c r="CD28" s="59" t="s">
        <v>263</v>
      </c>
      <c r="CE28" s="59" t="s">
        <v>263</v>
      </c>
      <c r="CF28" s="59" t="s">
        <v>263</v>
      </c>
      <c r="CG28" s="59" t="s">
        <v>263</v>
      </c>
      <c r="CH28" s="59" t="s">
        <v>263</v>
      </c>
      <c r="CI28" s="59" t="s">
        <v>263</v>
      </c>
      <c r="CJ28" s="59" t="s">
        <v>263</v>
      </c>
      <c r="CK28" s="59" t="s">
        <v>263</v>
      </c>
      <c r="CL28" s="59" t="s">
        <v>263</v>
      </c>
      <c r="CM28" s="59" t="s">
        <v>263</v>
      </c>
      <c r="CN28" s="59" t="s">
        <v>263</v>
      </c>
      <c r="CO28" s="59" t="s">
        <v>263</v>
      </c>
      <c r="CP28" s="59" t="s">
        <v>263</v>
      </c>
      <c r="CQ28" s="59" t="s">
        <v>263</v>
      </c>
      <c r="CR28" s="59" t="s">
        <v>263</v>
      </c>
      <c r="CS28" s="59" t="s">
        <v>263</v>
      </c>
      <c r="CT28" s="58" t="s">
        <v>263</v>
      </c>
      <c r="CU28" s="58" t="s">
        <v>263</v>
      </c>
      <c r="CV28" s="58"/>
      <c r="CW28" s="58"/>
      <c r="CX28" s="58"/>
      <c r="CY28" s="58"/>
      <c r="CZ28" s="58"/>
      <c r="DA28" s="58"/>
      <c r="DB28" s="58"/>
      <c r="DC28" s="58"/>
      <c r="DD28" s="58"/>
      <c r="DE28" s="58"/>
      <c r="DF28" s="58"/>
      <c r="DG28" s="58"/>
      <c r="DH28" s="58"/>
      <c r="DI28" s="58"/>
      <c r="DJ28" s="58"/>
      <c r="DK28" s="58"/>
      <c r="DL28" s="58"/>
      <c r="DM28" s="58"/>
      <c r="DN28" s="58"/>
      <c r="DO28" s="58"/>
      <c r="DP28" s="58"/>
      <c r="DQ28" s="58"/>
      <c r="DR28" s="58"/>
      <c r="DS28" s="58"/>
      <c r="DT28" s="58"/>
      <c r="DU28" s="58"/>
      <c r="DV28" s="58"/>
      <c r="DW28" s="58"/>
      <c r="DX28" s="58"/>
      <c r="DY28" s="58"/>
      <c r="DZ28" s="58"/>
      <c r="EA28" s="58"/>
      <c r="EB28" s="58"/>
      <c r="EC28" s="58"/>
      <c r="ED28" s="58"/>
      <c r="EE28" s="58"/>
      <c r="EF28" s="58"/>
      <c r="EG28" s="58"/>
      <c r="EH28" s="58"/>
      <c r="EI28" s="58"/>
      <c r="EJ28" s="58"/>
      <c r="EK28" s="58"/>
      <c r="EL28" s="58"/>
      <c r="EM28" s="58"/>
      <c r="EN28" s="58"/>
      <c r="EO28" s="58"/>
      <c r="EP28" s="58"/>
      <c r="EQ28" s="58"/>
      <c r="ER28" s="58"/>
      <c r="ES28" s="58"/>
      <c r="ET28" s="58"/>
      <c r="EU28" s="58"/>
      <c r="EV28" s="58"/>
      <c r="EW28" s="58"/>
      <c r="EX28" s="58"/>
      <c r="EY28" s="58"/>
      <c r="EZ28" s="58"/>
      <c r="FA28" s="58"/>
      <c r="FB28" s="58"/>
      <c r="FC28" s="58"/>
      <c r="FD28" s="58"/>
      <c r="FE28" s="58"/>
      <c r="FF28" s="58"/>
      <c r="FG28" s="58"/>
      <c r="FH28" s="58"/>
      <c r="FI28" s="58"/>
      <c r="FJ28" s="58"/>
      <c r="FK28" s="58"/>
      <c r="FL28" s="58"/>
      <c r="FM28" s="58"/>
      <c r="FN28" s="58"/>
      <c r="FO28" s="58"/>
      <c r="FP28" s="58"/>
      <c r="FQ28" s="58"/>
      <c r="FR28" s="58"/>
      <c r="FS28" s="58"/>
      <c r="FT28" s="58"/>
      <c r="FU28" s="58"/>
      <c r="FV28" s="58"/>
      <c r="FW28" s="58"/>
      <c r="FX28" s="58"/>
      <c r="FY28" s="58"/>
      <c r="FZ28" s="58"/>
      <c r="GA28" s="58"/>
      <c r="GB28" s="58"/>
      <c r="GC28" s="58"/>
      <c r="GD28" s="58"/>
      <c r="GE28" s="58"/>
      <c r="GF28" s="58"/>
      <c r="GG28" s="58"/>
      <c r="GH28" s="58"/>
      <c r="GI28" s="58"/>
      <c r="GJ28" s="58"/>
      <c r="GK28" s="58"/>
      <c r="GL28" s="58"/>
      <c r="GM28" s="58"/>
      <c r="GN28" s="58"/>
      <c r="GO28" s="58"/>
      <c r="GP28" s="58"/>
      <c r="GQ28" s="58"/>
      <c r="GR28" s="58"/>
      <c r="GS28" s="58"/>
      <c r="GT28" s="58"/>
      <c r="GU28" s="58"/>
      <c r="GV28" s="58"/>
      <c r="GW28" s="58"/>
      <c r="GX28" s="58"/>
      <c r="GY28" s="58"/>
      <c r="GZ28" s="58"/>
      <c r="HA28" s="58"/>
      <c r="HB28" s="58"/>
      <c r="HC28" s="58"/>
      <c r="HD28" s="58"/>
      <c r="HE28" s="58"/>
      <c r="HF28" s="58"/>
      <c r="HG28" s="58"/>
      <c r="HH28" s="58"/>
      <c r="HI28" s="58"/>
      <c r="HJ28" s="58"/>
      <c r="HK28" s="58"/>
      <c r="HL28" s="58"/>
      <c r="HM28" s="58"/>
      <c r="HN28" s="58"/>
      <c r="HO28" s="58"/>
      <c r="HP28" s="58"/>
      <c r="HQ28" s="58"/>
      <c r="HR28" s="58"/>
      <c r="HS28" s="58"/>
      <c r="HT28" s="58"/>
      <c r="HU28" s="58"/>
      <c r="HV28" s="58"/>
      <c r="HW28" s="58"/>
      <c r="HX28" s="58"/>
      <c r="HY28" s="58"/>
      <c r="HZ28" s="58"/>
      <c r="IA28" s="58"/>
      <c r="IB28" s="58"/>
      <c r="IC28" s="58"/>
      <c r="ID28" s="58"/>
      <c r="IE28" s="58"/>
      <c r="IF28" s="58"/>
      <c r="IG28" s="58"/>
      <c r="IH28" s="58"/>
      <c r="II28" s="58"/>
      <c r="IJ28" s="58"/>
      <c r="IK28" s="58"/>
      <c r="IL28" s="58"/>
      <c r="IM28" s="58"/>
    </row>
    <row r="29" spans="1:309" s="30" customFormat="1" ht="15" thickBot="1" x14ac:dyDescent="0.35">
      <c r="A29" s="19" t="s">
        <v>650</v>
      </c>
      <c r="B29" s="19" t="s">
        <v>55</v>
      </c>
      <c r="C29" s="19" t="s">
        <v>22</v>
      </c>
      <c r="E29" s="58"/>
      <c r="F29" s="58"/>
      <c r="G29" s="58"/>
      <c r="H29" s="58"/>
      <c r="I29" s="58"/>
      <c r="J29" s="58"/>
      <c r="K29" s="58"/>
      <c r="L29" s="58"/>
      <c r="M29" s="68"/>
      <c r="N29" s="66"/>
      <c r="O29" s="66"/>
      <c r="P29" s="66"/>
      <c r="Q29" s="66"/>
      <c r="R29" s="67"/>
      <c r="S29" s="68"/>
      <c r="T29" s="66"/>
      <c r="U29" s="66"/>
      <c r="V29" s="66"/>
      <c r="W29" s="66"/>
      <c r="X29" s="66"/>
      <c r="Y29" s="66"/>
      <c r="Z29" s="66"/>
      <c r="AA29" s="66"/>
      <c r="AB29" s="66"/>
      <c r="AC29" s="67"/>
      <c r="AD29" s="58"/>
      <c r="AE29" s="58"/>
      <c r="AF29" s="58" t="s">
        <v>263</v>
      </c>
      <c r="AG29" s="58" t="s">
        <v>263</v>
      </c>
      <c r="AH29" s="58" t="s">
        <v>263</v>
      </c>
      <c r="AI29" s="58" t="s">
        <v>263</v>
      </c>
      <c r="AJ29" s="58" t="s">
        <v>263</v>
      </c>
      <c r="AK29" s="58" t="s">
        <v>263</v>
      </c>
      <c r="AL29" s="58" t="s">
        <v>263</v>
      </c>
      <c r="AM29" s="58" t="s">
        <v>263</v>
      </c>
      <c r="AN29" s="58" t="s">
        <v>263</v>
      </c>
      <c r="AO29" s="58" t="s">
        <v>263</v>
      </c>
      <c r="AP29" s="58" t="s">
        <v>263</v>
      </c>
      <c r="AQ29" s="58" t="s">
        <v>263</v>
      </c>
      <c r="AR29" s="58" t="s">
        <v>263</v>
      </c>
      <c r="AS29" s="58" t="s">
        <v>263</v>
      </c>
      <c r="AT29" s="58" t="s">
        <v>263</v>
      </c>
      <c r="AU29" s="58" t="s">
        <v>263</v>
      </c>
      <c r="AV29" s="58" t="s">
        <v>263</v>
      </c>
      <c r="AW29" s="58" t="s">
        <v>263</v>
      </c>
      <c r="AX29" s="58" t="s">
        <v>263</v>
      </c>
      <c r="AY29" s="58" t="s">
        <v>263</v>
      </c>
      <c r="AZ29" s="58" t="s">
        <v>263</v>
      </c>
      <c r="BA29" s="58" t="s">
        <v>263</v>
      </c>
      <c r="BB29" s="58" t="s">
        <v>263</v>
      </c>
      <c r="BC29" s="58" t="s">
        <v>263</v>
      </c>
      <c r="BD29" s="58" t="s">
        <v>263</v>
      </c>
      <c r="BE29" s="58" t="s">
        <v>263</v>
      </c>
      <c r="BF29" s="58" t="s">
        <v>263</v>
      </c>
      <c r="BG29" s="58" t="s">
        <v>263</v>
      </c>
      <c r="BH29" s="58" t="s">
        <v>263</v>
      </c>
      <c r="BI29" s="58" t="s">
        <v>263</v>
      </c>
      <c r="BJ29" s="58" t="s">
        <v>263</v>
      </c>
      <c r="BK29" s="58" t="s">
        <v>263</v>
      </c>
      <c r="BL29" s="58" t="s">
        <v>263</v>
      </c>
      <c r="BM29" s="58" t="s">
        <v>263</v>
      </c>
      <c r="BN29" s="58" t="s">
        <v>263</v>
      </c>
      <c r="BO29" s="58" t="s">
        <v>263</v>
      </c>
      <c r="BP29" s="58" t="s">
        <v>263</v>
      </c>
      <c r="BQ29" s="58" t="s">
        <v>263</v>
      </c>
      <c r="BR29" s="58" t="s">
        <v>263</v>
      </c>
      <c r="BS29" s="58" t="s">
        <v>263</v>
      </c>
      <c r="BT29" s="58" t="s">
        <v>263</v>
      </c>
      <c r="BU29" s="58" t="s">
        <v>263</v>
      </c>
      <c r="BV29" s="58" t="s">
        <v>263</v>
      </c>
      <c r="BW29" s="58" t="s">
        <v>263</v>
      </c>
      <c r="BX29" s="58" t="s">
        <v>263</v>
      </c>
      <c r="BY29" s="58" t="s">
        <v>263</v>
      </c>
      <c r="BZ29" s="58" t="s">
        <v>263</v>
      </c>
      <c r="CA29" s="58" t="s">
        <v>263</v>
      </c>
      <c r="CB29" s="58" t="s">
        <v>263</v>
      </c>
      <c r="CC29" s="58" t="s">
        <v>263</v>
      </c>
      <c r="CD29" s="58" t="s">
        <v>263</v>
      </c>
      <c r="CE29" s="58" t="s">
        <v>263</v>
      </c>
      <c r="CF29" s="58" t="s">
        <v>263</v>
      </c>
      <c r="CG29" s="58" t="s">
        <v>263</v>
      </c>
      <c r="CH29" s="58" t="s">
        <v>263</v>
      </c>
      <c r="CI29" s="58" t="s">
        <v>263</v>
      </c>
      <c r="CJ29" s="58" t="s">
        <v>263</v>
      </c>
      <c r="CK29" s="58" t="s">
        <v>263</v>
      </c>
      <c r="CL29" s="58" t="s">
        <v>263</v>
      </c>
      <c r="CM29" s="58" t="s">
        <v>263</v>
      </c>
      <c r="CN29" s="58" t="s">
        <v>263</v>
      </c>
      <c r="CO29" s="58" t="s">
        <v>263</v>
      </c>
      <c r="CP29" s="58" t="s">
        <v>263</v>
      </c>
      <c r="CQ29" s="58" t="s">
        <v>263</v>
      </c>
      <c r="CR29" s="58" t="s">
        <v>263</v>
      </c>
      <c r="CS29" s="58" t="s">
        <v>263</v>
      </c>
      <c r="CT29" s="58" t="s">
        <v>263</v>
      </c>
      <c r="CU29" s="59" t="s">
        <v>263</v>
      </c>
      <c r="CV29" s="59"/>
      <c r="CW29" s="59"/>
      <c r="CX29" s="59"/>
      <c r="CY29" s="59"/>
      <c r="CZ29" s="59"/>
      <c r="DA29" s="59"/>
      <c r="DB29" s="59"/>
      <c r="DC29" s="59"/>
      <c r="DD29" s="59"/>
      <c r="DE29" s="59"/>
      <c r="DF29" s="59"/>
      <c r="DG29" s="59"/>
      <c r="DH29" s="59"/>
      <c r="DI29" s="59"/>
      <c r="DJ29" s="59"/>
      <c r="DK29" s="59"/>
      <c r="DL29" s="59"/>
      <c r="DM29" s="59"/>
      <c r="DN29" s="59"/>
      <c r="DO29" s="59"/>
      <c r="DP29" s="59"/>
      <c r="DQ29" s="59"/>
      <c r="DR29" s="59"/>
      <c r="DS29" s="59"/>
      <c r="DT29" s="59"/>
      <c r="DU29" s="59"/>
      <c r="DV29" s="59"/>
      <c r="DW29" s="59"/>
      <c r="DX29" s="59"/>
      <c r="DY29" s="59"/>
      <c r="DZ29" s="59"/>
      <c r="EA29" s="59"/>
      <c r="EB29" s="59"/>
      <c r="EC29" s="59"/>
      <c r="ED29" s="59"/>
      <c r="EE29" s="59"/>
      <c r="EF29" s="59"/>
      <c r="EG29" s="59"/>
      <c r="EH29" s="72"/>
      <c r="EI29" s="58"/>
      <c r="EJ29" s="58"/>
      <c r="EK29" s="58"/>
      <c r="EL29" s="58"/>
      <c r="EM29" s="58"/>
      <c r="EN29" s="58"/>
      <c r="EO29" s="58"/>
      <c r="EP29" s="58"/>
      <c r="EQ29" s="58"/>
      <c r="ER29" s="58"/>
      <c r="ES29" s="58"/>
      <c r="ET29" s="58"/>
      <c r="EU29" s="58"/>
      <c r="EV29" s="58"/>
      <c r="EW29" s="58"/>
      <c r="EX29" s="58"/>
      <c r="EY29" s="58"/>
      <c r="EZ29" s="58"/>
      <c r="FA29" s="58"/>
      <c r="FB29" s="58"/>
      <c r="FC29" s="58"/>
      <c r="FD29" s="58"/>
      <c r="FE29" s="58"/>
      <c r="FF29" s="58"/>
      <c r="FG29" s="58"/>
      <c r="FH29" s="58"/>
      <c r="FI29" s="58"/>
      <c r="FJ29" s="58"/>
      <c r="FK29" s="58"/>
      <c r="FL29" s="58"/>
      <c r="FM29" s="58"/>
      <c r="FN29" s="58"/>
      <c r="FO29" s="58"/>
      <c r="FP29" s="58"/>
      <c r="FQ29" s="58"/>
      <c r="FR29" s="58"/>
      <c r="FS29" s="58"/>
      <c r="FT29" s="58"/>
      <c r="FU29" s="58"/>
      <c r="FV29" s="58"/>
      <c r="FW29" s="58"/>
      <c r="FX29" s="58"/>
      <c r="FY29" s="58"/>
      <c r="FZ29" s="58"/>
      <c r="GA29" s="58"/>
      <c r="GB29" s="58"/>
      <c r="GC29" s="58"/>
      <c r="GD29" s="58"/>
      <c r="GE29" s="58"/>
      <c r="GF29" s="58"/>
      <c r="GG29" s="58"/>
      <c r="GH29" s="58"/>
      <c r="GI29" s="58"/>
      <c r="GJ29" s="58"/>
      <c r="GK29" s="58"/>
      <c r="GL29" s="58"/>
      <c r="GM29" s="58"/>
      <c r="GN29" s="58"/>
      <c r="GO29" s="58"/>
      <c r="GP29" s="58"/>
      <c r="GQ29" s="58"/>
      <c r="GR29" s="58"/>
      <c r="GS29" s="58"/>
      <c r="GT29" s="58"/>
      <c r="GU29" s="58"/>
      <c r="GV29" s="58"/>
      <c r="GW29" s="58"/>
      <c r="GX29" s="58"/>
      <c r="GY29" s="58"/>
      <c r="GZ29" s="58"/>
      <c r="HA29" s="58"/>
      <c r="HB29" s="58"/>
      <c r="HC29" s="58"/>
      <c r="HD29" s="58"/>
      <c r="HE29" s="58"/>
      <c r="HF29" s="58"/>
      <c r="HG29" s="58"/>
      <c r="HH29" s="58"/>
      <c r="HI29" s="58"/>
      <c r="HJ29" s="58"/>
      <c r="HK29" s="58"/>
      <c r="HL29" s="58"/>
      <c r="HM29" s="58"/>
      <c r="HN29" s="58"/>
      <c r="HO29" s="58"/>
      <c r="HP29" s="58"/>
      <c r="HQ29" s="58"/>
      <c r="HR29" s="58"/>
      <c r="HS29" s="58"/>
      <c r="HT29" s="58"/>
      <c r="HU29" s="58"/>
      <c r="HV29" s="58"/>
      <c r="HW29" s="58"/>
      <c r="HX29" s="58"/>
      <c r="HY29" s="58"/>
      <c r="HZ29" s="58"/>
      <c r="IA29" s="58"/>
      <c r="IB29" s="58"/>
      <c r="IC29" s="58"/>
      <c r="ID29" s="58"/>
      <c r="IE29" s="58"/>
      <c r="IF29" s="58"/>
      <c r="IG29" s="58"/>
      <c r="IH29" s="58"/>
      <c r="II29" s="58"/>
      <c r="IJ29" s="58"/>
      <c r="IK29" s="58"/>
      <c r="IL29" s="58"/>
      <c r="IM29" s="58"/>
      <c r="IN29" s="58"/>
      <c r="IO29" s="58"/>
      <c r="IP29" s="58"/>
      <c r="IQ29" s="58"/>
      <c r="IR29" s="58"/>
      <c r="IS29" s="58"/>
      <c r="IT29" s="58"/>
      <c r="IU29" s="58"/>
      <c r="IV29" s="58"/>
      <c r="IW29" s="58"/>
      <c r="IX29" s="58"/>
      <c r="IY29" s="58"/>
      <c r="IZ29" s="58"/>
      <c r="JA29" s="58"/>
      <c r="JB29" s="58"/>
      <c r="JC29" s="58"/>
      <c r="JD29" s="58"/>
      <c r="JE29" s="58"/>
      <c r="JF29" s="58"/>
      <c r="JG29" s="58"/>
      <c r="JH29" s="58"/>
      <c r="JI29" s="58"/>
      <c r="JJ29" s="58"/>
      <c r="JK29" s="58"/>
      <c r="JL29" s="58"/>
      <c r="JM29" s="58"/>
      <c r="JN29" s="58"/>
      <c r="JO29" s="58"/>
      <c r="JP29" s="58"/>
      <c r="JQ29" s="58"/>
      <c r="JR29" s="58"/>
      <c r="JS29" s="58"/>
      <c r="JT29" s="58"/>
      <c r="JU29" s="58"/>
      <c r="JV29" s="58"/>
      <c r="JW29" s="58"/>
      <c r="JX29" s="58"/>
      <c r="JY29" s="58"/>
      <c r="JZ29" s="58"/>
      <c r="KA29" s="58"/>
      <c r="KB29" s="58"/>
      <c r="KC29" s="58"/>
      <c r="KD29" s="58"/>
      <c r="KE29" s="58"/>
      <c r="KF29" s="58"/>
      <c r="KG29" s="58"/>
      <c r="KH29" s="58"/>
    </row>
    <row r="30" spans="1:309" s="30" customFormat="1" ht="15" thickBot="1" x14ac:dyDescent="0.35">
      <c r="A30" s="19" t="s">
        <v>650</v>
      </c>
      <c r="B30" s="19" t="s">
        <v>55</v>
      </c>
      <c r="C30" s="19" t="s">
        <v>22</v>
      </c>
      <c r="E30" s="58"/>
      <c r="F30" s="58"/>
      <c r="G30" s="58"/>
      <c r="H30" s="58"/>
      <c r="I30" s="58"/>
      <c r="J30" s="58"/>
      <c r="K30" s="58"/>
      <c r="L30" s="58"/>
      <c r="M30" s="68"/>
      <c r="N30" s="66"/>
      <c r="O30" s="66"/>
      <c r="P30" s="66"/>
      <c r="Q30" s="66"/>
      <c r="R30" s="67"/>
      <c r="S30" s="68"/>
      <c r="T30" s="66"/>
      <c r="U30" s="66"/>
      <c r="V30" s="66"/>
      <c r="W30" s="66"/>
      <c r="X30" s="66"/>
      <c r="Y30" s="66"/>
      <c r="Z30" s="66"/>
      <c r="AA30" s="66"/>
      <c r="AB30" s="66"/>
      <c r="AC30" s="67"/>
      <c r="AD30" s="58"/>
      <c r="AE30" s="58"/>
      <c r="AF30" s="58" t="s">
        <v>263</v>
      </c>
      <c r="AG30" s="58" t="s">
        <v>263</v>
      </c>
      <c r="AH30" s="58" t="s">
        <v>263</v>
      </c>
      <c r="AI30" s="58" t="s">
        <v>263</v>
      </c>
      <c r="AJ30" s="58" t="s">
        <v>263</v>
      </c>
      <c r="AK30" s="58" t="s">
        <v>263</v>
      </c>
      <c r="AL30" s="58" t="s">
        <v>263</v>
      </c>
      <c r="AM30" s="58" t="s">
        <v>263</v>
      </c>
      <c r="AN30" s="58" t="s">
        <v>263</v>
      </c>
      <c r="AO30" s="58" t="s">
        <v>263</v>
      </c>
      <c r="AP30" s="58" t="s">
        <v>263</v>
      </c>
      <c r="AQ30" s="58" t="s">
        <v>263</v>
      </c>
      <c r="AR30" s="58" t="s">
        <v>263</v>
      </c>
      <c r="AS30" s="58" t="s">
        <v>263</v>
      </c>
      <c r="AT30" s="58" t="s">
        <v>263</v>
      </c>
      <c r="AU30" s="58" t="s">
        <v>263</v>
      </c>
      <c r="AV30" s="58" t="s">
        <v>263</v>
      </c>
      <c r="AW30" s="58" t="s">
        <v>263</v>
      </c>
      <c r="AX30" s="58" t="s">
        <v>263</v>
      </c>
      <c r="AY30" s="58" t="s">
        <v>263</v>
      </c>
      <c r="AZ30" s="58" t="s">
        <v>263</v>
      </c>
      <c r="BA30" s="58" t="s">
        <v>263</v>
      </c>
      <c r="BB30" s="58" t="s">
        <v>263</v>
      </c>
      <c r="BC30" s="58" t="s">
        <v>263</v>
      </c>
      <c r="BD30" s="58" t="s">
        <v>263</v>
      </c>
      <c r="BE30" s="58" t="s">
        <v>263</v>
      </c>
      <c r="BF30" s="58" t="s">
        <v>263</v>
      </c>
      <c r="BG30" s="58" t="s">
        <v>263</v>
      </c>
      <c r="BH30" s="58" t="s">
        <v>263</v>
      </c>
      <c r="BI30" s="58" t="s">
        <v>263</v>
      </c>
      <c r="BJ30" s="58" t="s">
        <v>263</v>
      </c>
      <c r="BK30" s="58" t="s">
        <v>263</v>
      </c>
      <c r="BL30" s="58" t="s">
        <v>263</v>
      </c>
      <c r="BM30" s="58" t="s">
        <v>263</v>
      </c>
      <c r="BN30" s="58" t="s">
        <v>263</v>
      </c>
      <c r="BO30" s="58" t="s">
        <v>263</v>
      </c>
      <c r="BP30" s="58" t="s">
        <v>263</v>
      </c>
      <c r="BQ30" s="58" t="s">
        <v>263</v>
      </c>
      <c r="BR30" s="58" t="s">
        <v>263</v>
      </c>
      <c r="BS30" s="58" t="s">
        <v>263</v>
      </c>
      <c r="BT30" s="58" t="s">
        <v>263</v>
      </c>
      <c r="BU30" s="58" t="s">
        <v>263</v>
      </c>
      <c r="BV30" s="58" t="s">
        <v>263</v>
      </c>
      <c r="BW30" s="58" t="s">
        <v>263</v>
      </c>
      <c r="BX30" s="58" t="s">
        <v>263</v>
      </c>
      <c r="BY30" s="58" t="s">
        <v>263</v>
      </c>
      <c r="BZ30" s="58" t="s">
        <v>263</v>
      </c>
      <c r="CA30" s="58" t="s">
        <v>263</v>
      </c>
      <c r="CB30" s="58" t="s">
        <v>263</v>
      </c>
      <c r="CC30" s="58" t="s">
        <v>263</v>
      </c>
      <c r="CD30" s="58" t="s">
        <v>263</v>
      </c>
      <c r="CE30" s="58" t="s">
        <v>263</v>
      </c>
      <c r="CF30" s="58" t="s">
        <v>263</v>
      </c>
      <c r="CG30" s="58" t="s">
        <v>263</v>
      </c>
      <c r="CH30" s="58" t="s">
        <v>263</v>
      </c>
      <c r="CI30" s="58" t="s">
        <v>263</v>
      </c>
      <c r="CJ30" s="58" t="s">
        <v>263</v>
      </c>
      <c r="CK30" s="58" t="s">
        <v>263</v>
      </c>
      <c r="CL30" s="58" t="s">
        <v>263</v>
      </c>
      <c r="CM30" s="58" t="s">
        <v>263</v>
      </c>
      <c r="CN30" s="58" t="s">
        <v>263</v>
      </c>
      <c r="CO30" s="58" t="s">
        <v>263</v>
      </c>
      <c r="CP30" s="58" t="s">
        <v>263</v>
      </c>
      <c r="CQ30" s="58" t="s">
        <v>263</v>
      </c>
      <c r="CR30" s="58" t="s">
        <v>263</v>
      </c>
      <c r="CS30" s="58" t="s">
        <v>263</v>
      </c>
      <c r="CT30" s="58" t="s">
        <v>263</v>
      </c>
      <c r="CU30" s="58" t="s">
        <v>263</v>
      </c>
      <c r="CV30" s="58"/>
      <c r="CW30" s="58"/>
      <c r="CX30" s="58"/>
      <c r="CY30" s="58"/>
      <c r="CZ30" s="58"/>
      <c r="DA30" s="58"/>
      <c r="DB30" s="58"/>
      <c r="DC30" s="58"/>
      <c r="DD30" s="58"/>
      <c r="DE30" s="58"/>
      <c r="DF30" s="58"/>
      <c r="DG30" s="58"/>
      <c r="DH30" s="58"/>
      <c r="DI30" s="58"/>
      <c r="DJ30" s="58"/>
      <c r="DK30" s="58"/>
      <c r="DL30" s="58"/>
      <c r="DM30" s="58"/>
      <c r="DN30" s="58"/>
      <c r="DO30" s="58"/>
      <c r="DP30" s="58"/>
      <c r="DQ30" s="58"/>
      <c r="DR30" s="58"/>
      <c r="DS30" s="58"/>
      <c r="DT30" s="58"/>
      <c r="DU30" s="58"/>
      <c r="DV30" s="58"/>
      <c r="DW30" s="58"/>
      <c r="DX30" s="58"/>
      <c r="DY30" s="58"/>
      <c r="DZ30" s="58"/>
      <c r="EA30" s="58"/>
      <c r="EB30" s="58"/>
      <c r="EC30" s="58"/>
      <c r="ED30" s="58"/>
      <c r="EE30" s="58"/>
      <c r="EF30" s="58"/>
      <c r="EG30" s="58"/>
      <c r="EH30" s="59"/>
      <c r="EI30" s="59"/>
      <c r="EJ30" s="59"/>
      <c r="EK30" s="59"/>
      <c r="EL30" s="59"/>
      <c r="EM30" s="59"/>
      <c r="EN30" s="59"/>
      <c r="EO30" s="59"/>
      <c r="EP30" s="59"/>
      <c r="EQ30" s="59"/>
      <c r="ER30" s="59"/>
      <c r="ES30" s="59"/>
      <c r="ET30" s="59"/>
      <c r="EU30" s="59"/>
      <c r="EV30" s="59"/>
      <c r="EW30" s="59"/>
      <c r="EX30" s="59"/>
      <c r="EY30" s="59"/>
      <c r="EZ30" s="59"/>
      <c r="FA30" s="59"/>
      <c r="FB30" s="59"/>
      <c r="FC30" s="59"/>
      <c r="FD30" s="58"/>
      <c r="FE30" s="58"/>
      <c r="FF30" s="58"/>
      <c r="FG30" s="58"/>
      <c r="FH30" s="58"/>
      <c r="FI30" s="58"/>
      <c r="FJ30" s="58"/>
      <c r="FK30" s="58"/>
      <c r="FL30" s="58"/>
      <c r="FM30" s="58"/>
      <c r="FN30" s="58"/>
      <c r="FO30" s="58"/>
      <c r="FP30" s="58"/>
      <c r="FQ30" s="58"/>
      <c r="FR30" s="58"/>
      <c r="FS30" s="58"/>
      <c r="FT30" s="58"/>
      <c r="FU30" s="58"/>
      <c r="FV30" s="58"/>
      <c r="FW30" s="58"/>
      <c r="FX30" s="58"/>
      <c r="FY30" s="58"/>
      <c r="FZ30" s="58"/>
      <c r="GA30" s="58"/>
      <c r="GB30" s="58"/>
      <c r="GC30" s="58"/>
      <c r="GD30" s="58"/>
      <c r="GE30" s="58"/>
      <c r="GF30" s="58"/>
      <c r="GG30" s="58"/>
      <c r="GH30" s="58"/>
      <c r="GI30" s="58"/>
      <c r="GJ30" s="58"/>
      <c r="GK30" s="58"/>
      <c r="GL30" s="58"/>
      <c r="GM30" s="58"/>
      <c r="GN30" s="58"/>
      <c r="GO30" s="58"/>
      <c r="GP30" s="58"/>
      <c r="GQ30" s="58"/>
      <c r="GR30" s="58"/>
      <c r="GS30" s="58"/>
      <c r="GT30" s="58"/>
      <c r="GU30" s="58"/>
      <c r="GV30" s="58"/>
      <c r="GW30" s="58"/>
      <c r="GX30" s="58"/>
      <c r="GY30" s="58"/>
      <c r="GZ30" s="58"/>
      <c r="HA30" s="58"/>
      <c r="HB30" s="58"/>
      <c r="HC30" s="58"/>
      <c r="HD30" s="58"/>
      <c r="HE30" s="58"/>
      <c r="HF30" s="58"/>
      <c r="HG30" s="58"/>
      <c r="HH30" s="58"/>
      <c r="HI30" s="58"/>
      <c r="HJ30" s="58"/>
      <c r="HK30" s="58"/>
      <c r="HL30" s="58"/>
      <c r="HM30" s="58"/>
      <c r="HN30" s="58"/>
      <c r="HO30" s="58"/>
      <c r="HP30" s="58"/>
      <c r="HQ30" s="58"/>
      <c r="HR30" s="58"/>
      <c r="HS30" s="58"/>
      <c r="HT30" s="58"/>
      <c r="HU30" s="58"/>
      <c r="HV30" s="58"/>
      <c r="HW30" s="58"/>
      <c r="HX30" s="58"/>
      <c r="HY30" s="58"/>
      <c r="HZ30" s="58"/>
      <c r="IA30" s="58"/>
      <c r="IB30" s="58"/>
      <c r="IC30" s="58"/>
      <c r="ID30" s="58"/>
      <c r="IE30" s="58"/>
      <c r="IF30" s="58"/>
      <c r="IG30" s="58"/>
      <c r="IH30" s="58"/>
      <c r="II30" s="58"/>
      <c r="IJ30" s="58"/>
      <c r="IK30" s="58"/>
      <c r="IL30" s="58"/>
      <c r="IM30" s="58"/>
      <c r="IN30" s="58"/>
      <c r="IO30" s="58"/>
      <c r="IP30" s="58"/>
      <c r="IQ30" s="58"/>
      <c r="IR30" s="58"/>
      <c r="IS30" s="58"/>
      <c r="IT30" s="58"/>
      <c r="IU30" s="58"/>
      <c r="IV30" s="58"/>
      <c r="IW30" s="58"/>
      <c r="IX30" s="58"/>
      <c r="IY30" s="58"/>
      <c r="IZ30" s="58"/>
      <c r="JA30" s="58"/>
      <c r="JB30" s="58"/>
      <c r="JC30" s="58"/>
      <c r="JD30" s="58"/>
      <c r="JE30" s="58"/>
      <c r="JF30" s="58"/>
      <c r="JG30" s="58"/>
      <c r="JH30" s="58"/>
      <c r="JI30" s="58"/>
      <c r="JJ30" s="58"/>
      <c r="JK30" s="58"/>
      <c r="JL30" s="58"/>
      <c r="JM30" s="58"/>
      <c r="JN30" s="58"/>
      <c r="JO30" s="58"/>
      <c r="JP30" s="58"/>
      <c r="JQ30" s="58"/>
      <c r="JR30" s="58"/>
      <c r="JS30" s="58"/>
      <c r="JT30" s="58"/>
      <c r="JU30" s="58"/>
      <c r="JV30" s="58"/>
      <c r="JW30" s="58"/>
      <c r="JX30" s="58"/>
      <c r="JY30" s="58"/>
      <c r="JZ30" s="58"/>
      <c r="KA30" s="58"/>
      <c r="KB30" s="58"/>
      <c r="KC30" s="58"/>
      <c r="KD30" s="58"/>
      <c r="KE30" s="58"/>
      <c r="KF30" s="58"/>
      <c r="KG30" s="58"/>
      <c r="KH30" s="58"/>
    </row>
    <row r="31" spans="1:309" s="30" customFormat="1" x14ac:dyDescent="0.3">
      <c r="A31" s="20" t="s">
        <v>650</v>
      </c>
      <c r="B31" s="20" t="s">
        <v>371</v>
      </c>
      <c r="C31" s="20" t="s">
        <v>27</v>
      </c>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c r="CE31" s="58"/>
      <c r="CF31" s="58"/>
      <c r="CG31" s="58"/>
      <c r="CH31" s="58"/>
      <c r="CI31" s="58"/>
      <c r="CJ31" s="58"/>
      <c r="CK31" s="58"/>
      <c r="CL31" s="58"/>
      <c r="CM31" s="58"/>
      <c r="CN31" s="58"/>
      <c r="CO31" s="58"/>
      <c r="CP31" s="70"/>
      <c r="CQ31" s="70"/>
      <c r="CR31" s="70"/>
      <c r="CS31" s="70"/>
      <c r="CT31" s="70"/>
      <c r="CU31" s="70"/>
      <c r="CV31" s="70"/>
      <c r="CW31" s="58"/>
      <c r="CX31" s="58"/>
      <c r="CY31" s="58"/>
      <c r="CZ31" s="58"/>
      <c r="DA31" s="58"/>
      <c r="DB31" s="58"/>
      <c r="DC31" s="58"/>
      <c r="DD31" s="58"/>
      <c r="DE31" s="58"/>
      <c r="DF31" s="58"/>
      <c r="DG31" s="58"/>
      <c r="DH31" s="58"/>
      <c r="DI31" s="58"/>
      <c r="DJ31" s="58"/>
      <c r="DK31" s="58"/>
      <c r="DL31" s="58"/>
      <c r="DM31" s="58"/>
      <c r="DN31" s="58"/>
      <c r="DO31" s="58"/>
      <c r="DP31" s="58"/>
      <c r="DQ31" s="58"/>
      <c r="DR31" s="58"/>
      <c r="DS31" s="58"/>
      <c r="DT31" s="58"/>
      <c r="DU31" s="58"/>
      <c r="DV31" s="58"/>
      <c r="DW31" s="58"/>
      <c r="DX31" s="58"/>
      <c r="DY31" s="58"/>
      <c r="DZ31" s="58"/>
      <c r="EA31" s="58"/>
      <c r="EB31" s="58"/>
      <c r="EC31" s="58"/>
      <c r="ED31" s="58"/>
      <c r="EE31" s="58"/>
      <c r="EF31" s="58"/>
      <c r="EG31" s="58"/>
      <c r="EH31" s="58"/>
      <c r="EI31" s="58"/>
      <c r="EJ31" s="58"/>
      <c r="EK31" s="58"/>
      <c r="EL31" s="58"/>
      <c r="EM31" s="58"/>
      <c r="EN31" s="58"/>
      <c r="EO31" s="58"/>
      <c r="EP31" s="58"/>
      <c r="EQ31" s="58"/>
      <c r="ER31" s="58"/>
      <c r="ES31" s="58"/>
      <c r="ET31" s="58"/>
      <c r="EU31" s="58"/>
      <c r="EV31" s="58"/>
      <c r="EW31" s="58"/>
      <c r="EX31" s="58"/>
      <c r="EY31" s="58"/>
      <c r="EZ31" s="58"/>
      <c r="FA31" s="58"/>
      <c r="FB31" s="58"/>
      <c r="FC31" s="58"/>
      <c r="FD31" s="58"/>
      <c r="FE31" s="58"/>
      <c r="FF31" s="58"/>
      <c r="FG31" s="58"/>
      <c r="FH31" s="58"/>
      <c r="FI31" s="58"/>
      <c r="FJ31" s="58"/>
      <c r="FK31" s="58"/>
      <c r="FL31" s="58"/>
      <c r="FM31" s="58"/>
      <c r="FN31" s="58"/>
      <c r="FO31" s="58"/>
      <c r="FP31" s="58"/>
      <c r="FQ31" s="58"/>
      <c r="FR31" s="58"/>
      <c r="FS31" s="58"/>
      <c r="FT31" s="58"/>
      <c r="FU31" s="58"/>
      <c r="FV31" s="58"/>
      <c r="FW31" s="58"/>
      <c r="FX31" s="58"/>
      <c r="FY31" s="58"/>
      <c r="FZ31" s="58"/>
      <c r="GA31" s="58"/>
      <c r="GB31" s="58"/>
      <c r="GC31" s="58"/>
      <c r="GD31" s="58"/>
      <c r="GE31" s="58"/>
      <c r="GF31" s="58"/>
      <c r="GG31" s="58"/>
      <c r="GH31" s="58"/>
      <c r="GI31" s="58"/>
      <c r="GJ31" s="58"/>
      <c r="GK31" s="58"/>
      <c r="GL31" s="58"/>
      <c r="GM31" s="58"/>
      <c r="GN31" s="58"/>
      <c r="GO31" s="58"/>
      <c r="GP31" s="58"/>
      <c r="GQ31" s="58"/>
      <c r="GR31" s="58"/>
      <c r="GS31" s="58"/>
      <c r="GT31" s="58"/>
      <c r="GU31" s="58"/>
      <c r="GV31" s="58"/>
      <c r="GW31" s="58"/>
      <c r="GX31" s="58"/>
      <c r="GY31" s="58"/>
      <c r="GZ31" s="58"/>
      <c r="HA31" s="58"/>
      <c r="HB31" s="58"/>
      <c r="HC31" s="58"/>
      <c r="HD31" s="58"/>
      <c r="HE31" s="58"/>
      <c r="HF31" s="58"/>
      <c r="HG31" s="58"/>
      <c r="HH31" s="58"/>
      <c r="HI31" s="58"/>
      <c r="HJ31" s="58"/>
      <c r="HK31" s="58"/>
      <c r="HL31" s="58"/>
      <c r="HM31" s="58"/>
      <c r="HN31" s="58"/>
      <c r="HO31" s="58"/>
      <c r="HP31" s="58"/>
      <c r="HQ31" s="58"/>
      <c r="HR31" s="58"/>
      <c r="HS31" s="58"/>
      <c r="HT31" s="58"/>
      <c r="HU31" s="58"/>
      <c r="HV31" s="58"/>
      <c r="HW31" s="58"/>
      <c r="HX31" s="58"/>
      <c r="HY31" s="58"/>
      <c r="HZ31" s="58"/>
      <c r="IA31" s="58"/>
      <c r="IB31" s="58"/>
      <c r="IC31" s="58"/>
      <c r="ID31" s="58"/>
      <c r="IE31" s="58"/>
      <c r="IF31" s="58"/>
      <c r="IG31" s="58"/>
      <c r="IH31" s="58"/>
      <c r="II31" s="58"/>
      <c r="IJ31" s="58"/>
      <c r="IK31" s="58"/>
      <c r="IL31" s="58"/>
      <c r="IM31" s="58"/>
    </row>
    <row r="32" spans="1:309" s="30" customFormat="1" x14ac:dyDescent="0.3">
      <c r="A32" s="20" t="s">
        <v>650</v>
      </c>
      <c r="B32" s="20" t="s">
        <v>371</v>
      </c>
      <c r="C32" s="20" t="s">
        <v>27</v>
      </c>
      <c r="E32" s="58"/>
      <c r="F32" s="58"/>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c r="CE32" s="58"/>
      <c r="CF32" s="58"/>
      <c r="CG32" s="58"/>
      <c r="CH32" s="58"/>
      <c r="CI32" s="58"/>
      <c r="CJ32" s="58"/>
      <c r="CK32" s="58"/>
      <c r="CL32" s="58"/>
      <c r="CM32" s="58"/>
      <c r="CN32" s="58"/>
      <c r="CO32" s="58"/>
      <c r="CP32" s="58"/>
      <c r="CQ32" s="58"/>
      <c r="CR32" s="58"/>
      <c r="CS32" s="58"/>
      <c r="CT32" s="58"/>
      <c r="CU32" s="58"/>
      <c r="CV32" s="58"/>
      <c r="CW32" s="58"/>
      <c r="CX32" s="58"/>
      <c r="CY32" s="58"/>
      <c r="CZ32" s="58"/>
      <c r="DA32" s="58"/>
      <c r="DB32" s="58"/>
      <c r="DC32" s="58"/>
      <c r="DD32" s="58"/>
      <c r="DE32" s="58"/>
      <c r="DF32" s="58"/>
      <c r="DG32" s="58"/>
      <c r="DH32" s="58"/>
      <c r="DI32" s="58"/>
      <c r="DJ32" s="58"/>
      <c r="DK32" s="58"/>
      <c r="DL32" s="58"/>
      <c r="DM32" s="58"/>
      <c r="DN32" s="58"/>
      <c r="DO32" s="58"/>
      <c r="DP32" s="58"/>
      <c r="DQ32" s="58"/>
      <c r="DR32" s="58"/>
      <c r="DS32" s="58"/>
      <c r="DT32" s="58"/>
      <c r="DU32" s="58"/>
      <c r="DV32" s="58"/>
      <c r="DW32" s="58"/>
      <c r="DX32" s="58"/>
      <c r="DY32" s="58"/>
      <c r="DZ32" s="58"/>
      <c r="EA32" s="58"/>
      <c r="EB32" s="58"/>
      <c r="EC32" s="58"/>
      <c r="ED32" s="58"/>
      <c r="EE32" s="58"/>
      <c r="EF32" s="58"/>
      <c r="EG32" s="58"/>
      <c r="EH32" s="58"/>
      <c r="EI32" s="58"/>
      <c r="EJ32" s="58"/>
      <c r="EK32" s="58"/>
      <c r="EL32" s="58"/>
      <c r="EM32" s="58"/>
      <c r="EN32" s="58"/>
      <c r="EO32" s="58"/>
      <c r="EP32" s="58"/>
      <c r="EQ32" s="58"/>
      <c r="ER32" s="58"/>
      <c r="ES32" s="58"/>
      <c r="ET32" s="58"/>
      <c r="EU32" s="58"/>
      <c r="EV32" s="70"/>
      <c r="EW32" s="70"/>
      <c r="EX32" s="70"/>
      <c r="EY32" s="70"/>
      <c r="EZ32" s="70"/>
      <c r="FA32" s="70"/>
      <c r="FB32" s="70"/>
      <c r="FC32" s="58"/>
      <c r="FD32" s="58"/>
      <c r="FE32" s="58"/>
      <c r="FF32" s="58"/>
      <c r="FG32" s="58"/>
      <c r="FH32" s="58"/>
      <c r="FI32" s="58"/>
      <c r="FJ32" s="58"/>
      <c r="FK32" s="58"/>
      <c r="FL32" s="58"/>
      <c r="FM32" s="58"/>
      <c r="FN32" s="58"/>
      <c r="FO32" s="58"/>
      <c r="FP32" s="58"/>
      <c r="FQ32" s="58"/>
      <c r="FR32" s="58"/>
      <c r="FS32" s="58"/>
      <c r="FT32" s="58"/>
      <c r="FU32" s="58"/>
      <c r="FV32" s="58"/>
      <c r="FW32" s="58"/>
      <c r="FX32" s="58"/>
      <c r="FY32" s="58"/>
      <c r="FZ32" s="58"/>
      <c r="GA32" s="58"/>
      <c r="GB32" s="58"/>
      <c r="GC32" s="58"/>
      <c r="GD32" s="58"/>
      <c r="GE32" s="58"/>
      <c r="GF32" s="58"/>
      <c r="GG32" s="58"/>
      <c r="GH32" s="58"/>
      <c r="GI32" s="58"/>
      <c r="GJ32" s="58"/>
      <c r="GK32" s="58"/>
      <c r="GL32" s="58"/>
      <c r="GM32" s="58"/>
      <c r="GN32" s="58"/>
      <c r="GO32" s="58"/>
      <c r="GP32" s="58"/>
      <c r="GQ32" s="58"/>
      <c r="GR32" s="58"/>
      <c r="GS32" s="58"/>
      <c r="GT32" s="58"/>
      <c r="GU32" s="58"/>
      <c r="GV32" s="58"/>
      <c r="GW32" s="58"/>
      <c r="GX32" s="58"/>
      <c r="GY32" s="58"/>
      <c r="GZ32" s="58"/>
      <c r="HA32" s="58"/>
      <c r="HB32" s="58"/>
      <c r="HC32" s="58"/>
      <c r="HD32" s="58"/>
      <c r="HE32" s="58"/>
      <c r="HF32" s="58"/>
      <c r="HG32" s="58"/>
      <c r="HH32" s="58"/>
      <c r="HI32" s="58"/>
      <c r="HJ32" s="58"/>
      <c r="HK32" s="58"/>
      <c r="HL32" s="58"/>
      <c r="HM32" s="58"/>
      <c r="HN32" s="58"/>
      <c r="HO32" s="58"/>
      <c r="HP32" s="58"/>
      <c r="HQ32" s="58"/>
      <c r="HR32" s="58"/>
      <c r="HS32" s="58"/>
      <c r="HT32" s="58"/>
      <c r="HU32" s="58"/>
      <c r="HV32" s="58"/>
      <c r="HW32" s="58"/>
      <c r="HX32" s="58"/>
      <c r="HY32" s="58"/>
      <c r="HZ32" s="58"/>
      <c r="IA32" s="58"/>
      <c r="IB32" s="58"/>
      <c r="IC32" s="58"/>
      <c r="ID32" s="58"/>
      <c r="IE32" s="58"/>
      <c r="IF32" s="58"/>
      <c r="IG32" s="58"/>
      <c r="IH32" s="58"/>
      <c r="II32" s="58"/>
      <c r="IJ32" s="58"/>
      <c r="IK32" s="58"/>
      <c r="IL32" s="58"/>
      <c r="IM32" s="58"/>
    </row>
    <row r="33" spans="1:309" s="30" customFormat="1" ht="15" thickBot="1" x14ac:dyDescent="0.35">
      <c r="A33" s="20" t="s">
        <v>650</v>
      </c>
      <c r="B33" s="20" t="s">
        <v>371</v>
      </c>
      <c r="C33" s="20" t="s">
        <v>27</v>
      </c>
      <c r="E33" s="58"/>
      <c r="F33" s="58"/>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c r="CE33" s="58"/>
      <c r="CF33" s="58"/>
      <c r="CG33" s="58"/>
      <c r="CH33" s="58"/>
      <c r="CI33" s="58"/>
      <c r="CJ33" s="58"/>
      <c r="CK33" s="58"/>
      <c r="CL33" s="58"/>
      <c r="CM33" s="58"/>
      <c r="CN33" s="58"/>
      <c r="CO33" s="58"/>
      <c r="CP33" s="58"/>
      <c r="CQ33" s="58"/>
      <c r="CR33" s="58"/>
      <c r="CS33" s="58"/>
      <c r="CT33" s="58"/>
      <c r="CU33" s="58"/>
      <c r="CV33" s="58"/>
      <c r="CW33" s="58"/>
      <c r="CX33" s="58"/>
      <c r="CY33" s="58"/>
      <c r="CZ33" s="58"/>
      <c r="DA33" s="58"/>
      <c r="DB33" s="58"/>
      <c r="DC33" s="58"/>
      <c r="DD33" s="58"/>
      <c r="DE33" s="58"/>
      <c r="DF33" s="58"/>
      <c r="DG33" s="58"/>
      <c r="DH33" s="58"/>
      <c r="DI33" s="58"/>
      <c r="DJ33" s="58"/>
      <c r="DK33" s="58"/>
      <c r="DL33" s="58"/>
      <c r="DM33" s="58"/>
      <c r="DN33" s="58"/>
      <c r="DO33" s="58"/>
      <c r="DP33" s="58"/>
      <c r="DQ33" s="58"/>
      <c r="DR33" s="58"/>
      <c r="DS33" s="58"/>
      <c r="DT33" s="58"/>
      <c r="DU33" s="58"/>
      <c r="DV33" s="58"/>
      <c r="DW33" s="58"/>
      <c r="DX33" s="58"/>
      <c r="DY33" s="58"/>
      <c r="DZ33" s="58"/>
      <c r="EA33" s="58"/>
      <c r="EB33" s="58"/>
      <c r="EC33" s="58"/>
      <c r="ED33" s="58"/>
      <c r="EE33" s="58"/>
      <c r="EF33" s="58"/>
      <c r="EG33" s="58"/>
      <c r="EH33" s="58"/>
      <c r="EI33" s="58"/>
      <c r="EJ33" s="58"/>
      <c r="EK33" s="58"/>
      <c r="EL33" s="58"/>
      <c r="EM33" s="58"/>
      <c r="EN33" s="58"/>
      <c r="EO33" s="58"/>
      <c r="EP33" s="58"/>
      <c r="EQ33" s="58"/>
      <c r="ER33" s="58"/>
      <c r="ES33" s="58"/>
      <c r="ET33" s="58"/>
      <c r="EU33" s="58"/>
      <c r="EV33" s="58"/>
      <c r="EW33" s="58"/>
      <c r="EX33" s="58"/>
      <c r="EY33" s="58"/>
      <c r="EZ33" s="58"/>
      <c r="FA33" s="58"/>
      <c r="FB33" s="58"/>
      <c r="FC33" s="58"/>
      <c r="FD33" s="58"/>
      <c r="FE33" s="58"/>
      <c r="FF33" s="58"/>
      <c r="FG33" s="58"/>
      <c r="FH33" s="58"/>
      <c r="FI33" s="58"/>
      <c r="FJ33" s="58"/>
      <c r="FK33" s="58"/>
      <c r="FL33" s="58"/>
      <c r="FM33" s="58"/>
      <c r="FN33" s="58"/>
      <c r="FO33" s="58"/>
      <c r="FP33" s="58"/>
      <c r="FQ33" s="58"/>
      <c r="FR33" s="70"/>
      <c r="FS33" s="70"/>
      <c r="FT33" s="70"/>
      <c r="FU33" s="70"/>
      <c r="FV33" s="70"/>
      <c r="FW33" s="70"/>
      <c r="FX33" s="58"/>
      <c r="FY33" s="58"/>
      <c r="FZ33" s="58"/>
      <c r="GA33" s="58"/>
      <c r="GB33" s="58"/>
      <c r="GC33" s="58"/>
      <c r="GD33" s="58"/>
      <c r="GE33" s="58"/>
      <c r="GF33" s="58"/>
      <c r="GG33" s="58"/>
      <c r="GH33" s="58"/>
      <c r="GI33" s="58"/>
      <c r="GJ33" s="58"/>
      <c r="GK33" s="58"/>
      <c r="GL33" s="58"/>
      <c r="GM33" s="58"/>
      <c r="GN33" s="58"/>
      <c r="GO33" s="58"/>
      <c r="GP33" s="58"/>
      <c r="GQ33" s="58"/>
      <c r="GR33" s="58"/>
      <c r="GS33" s="58"/>
      <c r="GT33" s="58"/>
      <c r="GU33" s="58"/>
      <c r="GV33" s="58"/>
      <c r="GW33" s="58"/>
      <c r="GX33" s="58"/>
      <c r="GY33" s="58"/>
      <c r="GZ33" s="58"/>
      <c r="HA33" s="58"/>
      <c r="HB33" s="58"/>
      <c r="HC33" s="58"/>
      <c r="HD33" s="58"/>
      <c r="HE33" s="58"/>
      <c r="HF33" s="58"/>
      <c r="HG33" s="58"/>
      <c r="HH33" s="58"/>
      <c r="HI33" s="58"/>
      <c r="HJ33" s="58"/>
      <c r="HK33" s="58"/>
      <c r="HL33" s="58"/>
      <c r="HM33" s="58"/>
      <c r="HN33" s="58"/>
      <c r="HO33" s="58"/>
      <c r="HP33" s="58"/>
      <c r="HQ33" s="58"/>
      <c r="HR33" s="58"/>
      <c r="HS33" s="58"/>
      <c r="HT33" s="58"/>
      <c r="HU33" s="58"/>
      <c r="HV33" s="58"/>
      <c r="HW33" s="58"/>
      <c r="HX33" s="58"/>
      <c r="HY33" s="58"/>
      <c r="HZ33" s="58"/>
      <c r="IA33" s="58"/>
      <c r="IB33" s="58"/>
      <c r="IC33" s="58"/>
      <c r="ID33" s="58"/>
      <c r="IE33" s="58"/>
      <c r="IF33" s="58"/>
      <c r="IG33" s="58"/>
      <c r="IH33" s="58"/>
      <c r="II33" s="58"/>
      <c r="IJ33" s="58"/>
      <c r="IK33" s="58"/>
      <c r="IL33" s="58"/>
      <c r="IM33" s="58"/>
      <c r="IN33" s="58"/>
      <c r="IO33" s="58"/>
      <c r="IP33" s="58"/>
      <c r="IQ33" s="58"/>
      <c r="IR33" s="58"/>
      <c r="IS33" s="58"/>
      <c r="IT33" s="58"/>
      <c r="IU33" s="58"/>
      <c r="IV33" s="58"/>
      <c r="IW33" s="58"/>
      <c r="IX33" s="58"/>
      <c r="IY33" s="58"/>
      <c r="IZ33" s="58"/>
      <c r="JA33" s="58"/>
      <c r="JB33" s="58"/>
      <c r="JC33" s="58"/>
      <c r="JD33" s="58"/>
      <c r="JE33" s="58"/>
      <c r="JF33" s="58"/>
      <c r="JG33" s="58"/>
      <c r="JH33" s="58"/>
      <c r="JI33" s="58"/>
      <c r="JJ33" s="58"/>
      <c r="JK33" s="58"/>
      <c r="JL33" s="58"/>
      <c r="JM33" s="58"/>
      <c r="JN33" s="58"/>
      <c r="JO33" s="58"/>
      <c r="JP33" s="58"/>
      <c r="JQ33" s="58"/>
      <c r="JR33" s="58"/>
      <c r="JS33" s="58"/>
      <c r="JT33" s="58"/>
      <c r="JU33" s="58"/>
      <c r="JV33" s="58"/>
      <c r="JW33" s="58"/>
      <c r="JX33" s="58"/>
      <c r="JY33" s="58"/>
      <c r="JZ33" s="58"/>
      <c r="KA33" s="58"/>
    </row>
    <row r="34" spans="1:309" s="30" customFormat="1" ht="15" thickBot="1" x14ac:dyDescent="0.35">
      <c r="A34" s="78" t="s">
        <v>650</v>
      </c>
      <c r="B34" s="78" t="s">
        <v>56</v>
      </c>
      <c r="C34" s="78" t="s">
        <v>25</v>
      </c>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68"/>
      <c r="BM34" s="66"/>
      <c r="BN34" s="66"/>
      <c r="BO34" s="66"/>
      <c r="BP34" s="66"/>
      <c r="BQ34" s="66"/>
      <c r="BR34" s="66"/>
      <c r="BS34" s="66"/>
      <c r="BT34" s="66"/>
      <c r="BU34" s="66"/>
      <c r="BV34" s="67"/>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79"/>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c r="EP34" s="58"/>
      <c r="EQ34" s="58"/>
      <c r="ER34" s="58"/>
      <c r="ES34" s="58"/>
      <c r="ET34" s="58"/>
      <c r="EU34" s="58"/>
      <c r="EV34" s="58"/>
      <c r="EW34" s="58"/>
      <c r="EX34" s="58"/>
      <c r="EY34" s="58"/>
      <c r="EZ34" s="58"/>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8"/>
      <c r="HO34" s="58"/>
      <c r="HP34" s="58"/>
      <c r="HQ34" s="58"/>
      <c r="HR34" s="58"/>
      <c r="HS34" s="58"/>
      <c r="HT34" s="58"/>
      <c r="HU34" s="58"/>
      <c r="HV34" s="58"/>
      <c r="HW34" s="58"/>
      <c r="HX34" s="58"/>
      <c r="HY34" s="58"/>
      <c r="HZ34" s="58"/>
      <c r="IA34" s="58"/>
      <c r="IB34" s="58"/>
      <c r="IC34" s="58"/>
      <c r="ID34" s="58"/>
      <c r="IE34" s="58"/>
      <c r="IF34" s="58"/>
      <c r="IG34" s="58"/>
      <c r="IH34" s="58"/>
      <c r="II34" s="58"/>
      <c r="IJ34" s="58"/>
      <c r="IK34" s="58"/>
      <c r="IL34" s="58"/>
      <c r="IM34" s="58"/>
      <c r="KO34" s="84"/>
      <c r="KP34" s="85"/>
      <c r="KQ34" s="85"/>
      <c r="KR34" s="85"/>
      <c r="KS34" s="85"/>
      <c r="KT34" s="85"/>
      <c r="KU34" s="85"/>
      <c r="KV34" s="85"/>
      <c r="KW34" s="86"/>
    </row>
    <row r="35" spans="1:309" s="30" customFormat="1" ht="15" thickBot="1" x14ac:dyDescent="0.35">
      <c r="A35" s="78" t="s">
        <v>650</v>
      </c>
      <c r="B35" s="78" t="s">
        <v>56</v>
      </c>
      <c r="C35" s="78" t="s">
        <v>25</v>
      </c>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68"/>
      <c r="BM35" s="66"/>
      <c r="BN35" s="66"/>
      <c r="BO35" s="66"/>
      <c r="BP35" s="66"/>
      <c r="BQ35" s="66"/>
      <c r="BR35" s="66"/>
      <c r="BS35" s="66"/>
      <c r="BT35" s="66"/>
      <c r="BU35" s="66"/>
      <c r="BV35" s="67"/>
      <c r="BW35" s="58"/>
      <c r="BX35" s="58"/>
      <c r="BY35" s="58"/>
      <c r="BZ35" s="58"/>
      <c r="CA35" s="58"/>
      <c r="CB35" s="58"/>
      <c r="CC35" s="58"/>
      <c r="CD35" s="58"/>
      <c r="CE35" s="58"/>
      <c r="CF35" s="58"/>
      <c r="CG35" s="58"/>
      <c r="CH35" s="58"/>
      <c r="CI35" s="58"/>
      <c r="CJ35" s="58"/>
      <c r="CK35" s="58"/>
      <c r="CL35" s="58"/>
      <c r="CM35" s="58"/>
      <c r="CN35" s="58"/>
      <c r="CO35" s="58"/>
      <c r="CP35" s="58"/>
      <c r="CQ35" s="58"/>
      <c r="CR35" s="58"/>
      <c r="CS35" s="58"/>
      <c r="CT35" s="58"/>
      <c r="CU35" s="58"/>
      <c r="CV35" s="58"/>
      <c r="CW35" s="58"/>
      <c r="CX35" s="58"/>
      <c r="CY35" s="58"/>
      <c r="CZ35" s="58"/>
      <c r="DA35" s="58"/>
      <c r="DB35" s="58"/>
      <c r="DC35" s="58"/>
      <c r="DD35" s="58"/>
      <c r="DE35" s="58"/>
      <c r="DF35" s="58"/>
      <c r="DG35" s="58"/>
      <c r="DH35" s="58"/>
      <c r="DI35" s="58"/>
      <c r="DJ35" s="58"/>
      <c r="DK35" s="58"/>
      <c r="DL35" s="58"/>
      <c r="DM35" s="58"/>
      <c r="DN35" s="58"/>
      <c r="DO35" s="58"/>
      <c r="DP35" s="58"/>
      <c r="DQ35" s="58"/>
      <c r="DR35" s="58"/>
      <c r="DS35" s="58"/>
      <c r="DT35" s="58"/>
      <c r="DU35" s="58"/>
      <c r="DV35" s="58"/>
      <c r="DW35" s="58"/>
      <c r="DX35" s="58"/>
      <c r="DY35" s="58"/>
      <c r="DZ35" s="58"/>
      <c r="EA35" s="58"/>
      <c r="EB35" s="58"/>
      <c r="EC35" s="58"/>
      <c r="ED35" s="58"/>
      <c r="EE35" s="58"/>
      <c r="EF35" s="58"/>
      <c r="EG35" s="58"/>
      <c r="EH35" s="79"/>
      <c r="EI35" s="58"/>
      <c r="EJ35" s="58"/>
      <c r="EK35" s="58"/>
      <c r="EL35" s="58"/>
      <c r="EM35" s="58"/>
      <c r="EN35" s="58"/>
      <c r="EO35" s="58"/>
      <c r="EP35" s="58"/>
      <c r="EQ35" s="58"/>
      <c r="ER35" s="58"/>
      <c r="ES35" s="58"/>
      <c r="ET35" s="58"/>
      <c r="EU35" s="58"/>
      <c r="EV35" s="58"/>
      <c r="EW35" s="58"/>
      <c r="EX35" s="58"/>
      <c r="EY35" s="58"/>
      <c r="EZ35" s="58"/>
      <c r="FA35" s="58"/>
      <c r="FB35" s="58"/>
      <c r="FC35" s="58"/>
      <c r="FD35" s="58"/>
      <c r="FE35" s="58"/>
      <c r="FF35" s="58"/>
      <c r="FG35" s="58"/>
      <c r="FH35" s="58"/>
      <c r="FI35" s="58"/>
      <c r="FJ35" s="58"/>
      <c r="FK35" s="58"/>
      <c r="FL35" s="58"/>
      <c r="FM35" s="58"/>
      <c r="FN35" s="58"/>
      <c r="FO35" s="58"/>
      <c r="FP35" s="58"/>
      <c r="FQ35" s="58"/>
      <c r="FR35" s="58"/>
      <c r="FS35" s="58"/>
      <c r="FT35" s="58"/>
      <c r="FU35" s="58"/>
      <c r="FV35" s="58"/>
      <c r="FW35" s="58"/>
      <c r="FX35" s="58"/>
      <c r="FY35" s="58"/>
      <c r="FZ35" s="58"/>
      <c r="GA35" s="58"/>
      <c r="GB35" s="58"/>
      <c r="GC35" s="58"/>
      <c r="GD35" s="58"/>
      <c r="GE35" s="58"/>
      <c r="GF35" s="58"/>
      <c r="GG35" s="58"/>
      <c r="GH35" s="58"/>
      <c r="GI35" s="58"/>
      <c r="GJ35" s="58"/>
      <c r="GK35" s="58"/>
      <c r="GL35" s="58"/>
      <c r="GM35" s="58"/>
      <c r="GN35" s="58"/>
      <c r="GO35" s="58"/>
      <c r="GP35" s="58"/>
      <c r="GQ35" s="58"/>
      <c r="GR35" s="58"/>
      <c r="GS35" s="58"/>
      <c r="GT35" s="58"/>
      <c r="GU35" s="58"/>
      <c r="GV35" s="58"/>
      <c r="GW35" s="58"/>
      <c r="GX35" s="58"/>
      <c r="GY35" s="58"/>
      <c r="GZ35" s="58"/>
      <c r="HA35" s="58"/>
      <c r="HB35" s="58"/>
      <c r="HC35" s="58"/>
      <c r="HD35" s="58"/>
      <c r="HE35" s="58"/>
      <c r="HF35" s="58"/>
      <c r="HG35" s="58"/>
      <c r="HH35" s="58"/>
      <c r="HI35" s="58"/>
      <c r="HJ35" s="58"/>
      <c r="HK35" s="58"/>
      <c r="HL35" s="58"/>
      <c r="HM35" s="58"/>
      <c r="HN35" s="58"/>
      <c r="HO35" s="58"/>
      <c r="HP35" s="58"/>
      <c r="HQ35" s="58"/>
      <c r="HR35" s="58"/>
      <c r="HS35" s="58"/>
      <c r="HT35" s="58"/>
      <c r="HU35" s="58"/>
      <c r="HV35" s="58"/>
      <c r="HW35" s="58"/>
      <c r="HX35" s="58"/>
      <c r="HY35" s="58"/>
      <c r="HZ35" s="58"/>
      <c r="IA35" s="58"/>
      <c r="IB35" s="58"/>
      <c r="IC35" s="58"/>
      <c r="ID35" s="58"/>
      <c r="IE35" s="58"/>
      <c r="IF35" s="58"/>
      <c r="IG35" s="58"/>
      <c r="IH35" s="58"/>
      <c r="II35" s="58"/>
      <c r="IJ35" s="58"/>
      <c r="IK35" s="58"/>
      <c r="IL35" s="58"/>
      <c r="IM35" s="58"/>
      <c r="KO35" s="84"/>
      <c r="KP35" s="85"/>
      <c r="KQ35" s="85"/>
      <c r="KR35" s="85"/>
      <c r="KS35" s="85"/>
      <c r="KT35" s="85"/>
      <c r="KU35" s="85"/>
      <c r="KV35" s="85"/>
      <c r="KW35" s="86"/>
    </row>
    <row r="36" spans="1:309" s="30" customFormat="1" ht="15" thickBot="1" x14ac:dyDescent="0.35">
      <c r="A36" s="78" t="s">
        <v>650</v>
      </c>
      <c r="B36" s="78" t="s">
        <v>58</v>
      </c>
      <c r="C36" s="78" t="s">
        <v>25</v>
      </c>
      <c r="E36" s="58"/>
      <c r="F36" s="58"/>
      <c r="G36" s="58"/>
      <c r="H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68"/>
      <c r="BM36" s="66"/>
      <c r="BN36" s="66"/>
      <c r="BO36" s="66"/>
      <c r="BP36" s="66"/>
      <c r="BQ36" s="66"/>
      <c r="BR36" s="66"/>
      <c r="BS36" s="66"/>
      <c r="BT36" s="66"/>
      <c r="BU36" s="66"/>
      <c r="BV36" s="67"/>
      <c r="BW36" s="58"/>
      <c r="BX36" s="58"/>
      <c r="BY36" s="58"/>
      <c r="BZ36" s="58"/>
      <c r="CA36" s="58"/>
      <c r="CB36" s="58"/>
      <c r="CC36" s="58"/>
      <c r="CD36" s="58"/>
      <c r="CE36" s="58"/>
      <c r="CF36" s="58"/>
      <c r="CG36" s="58"/>
      <c r="CH36" s="58"/>
      <c r="CI36" s="58"/>
      <c r="CJ36" s="58"/>
      <c r="CK36" s="58"/>
      <c r="CL36" s="58"/>
      <c r="CM36" s="58"/>
      <c r="CN36" s="58"/>
      <c r="CO36" s="58"/>
      <c r="CP36" s="58"/>
      <c r="CQ36" s="58"/>
      <c r="CR36" s="58"/>
      <c r="CS36" s="58"/>
      <c r="CT36" s="58"/>
      <c r="CU36" s="58"/>
      <c r="CV36" s="58"/>
      <c r="CW36" s="58"/>
      <c r="CX36" s="58"/>
      <c r="CY36" s="58"/>
      <c r="CZ36" s="58"/>
      <c r="DA36" s="58"/>
      <c r="DB36" s="58"/>
      <c r="DC36" s="58"/>
      <c r="DD36" s="58"/>
      <c r="DE36" s="58"/>
      <c r="DF36" s="58"/>
      <c r="DG36" s="58"/>
      <c r="DH36" s="58"/>
      <c r="DI36" s="58"/>
      <c r="DJ36" s="58"/>
      <c r="DK36" s="58"/>
      <c r="DL36" s="58"/>
      <c r="DM36" s="58"/>
      <c r="DN36" s="58"/>
      <c r="DO36" s="58"/>
      <c r="DP36" s="58"/>
      <c r="DQ36" s="58"/>
      <c r="DR36" s="58"/>
      <c r="DS36" s="58"/>
      <c r="DT36" s="58"/>
      <c r="DU36" s="58"/>
      <c r="DV36" s="58"/>
      <c r="DW36" s="58"/>
      <c r="DX36" s="58"/>
      <c r="DY36" s="58"/>
      <c r="DZ36" s="58"/>
      <c r="EA36" s="58"/>
      <c r="EB36" s="58"/>
      <c r="EC36" s="58"/>
      <c r="ED36" s="58"/>
      <c r="EE36" s="58"/>
      <c r="EF36" s="58"/>
      <c r="EG36" s="58"/>
      <c r="EH36" s="58"/>
      <c r="EI36" s="58"/>
      <c r="EJ36" s="58"/>
      <c r="EK36" s="58"/>
      <c r="EL36" s="58"/>
      <c r="EM36" s="58"/>
      <c r="EN36" s="58"/>
      <c r="EO36" s="158"/>
      <c r="EP36" s="173"/>
      <c r="EQ36" s="173"/>
      <c r="ER36" s="173"/>
      <c r="ES36" s="173"/>
      <c r="ET36" s="173"/>
      <c r="EU36" s="173"/>
      <c r="EV36" s="173"/>
      <c r="EW36" s="173"/>
      <c r="EX36" s="173"/>
      <c r="EY36" s="173"/>
      <c r="EZ36" s="173"/>
      <c r="FA36" s="173"/>
      <c r="FB36" s="173"/>
      <c r="FC36" s="173"/>
      <c r="FD36" s="173"/>
      <c r="FE36" s="173"/>
      <c r="FF36" s="173"/>
      <c r="FG36" s="173"/>
      <c r="FH36" s="173"/>
      <c r="FI36" s="173"/>
      <c r="FJ36" s="173"/>
      <c r="FK36" s="173"/>
      <c r="FL36" s="173"/>
      <c r="FM36" s="173"/>
      <c r="FN36" s="173"/>
      <c r="FO36" s="173"/>
      <c r="FP36" s="173"/>
      <c r="FQ36" s="173"/>
      <c r="FR36" s="173"/>
      <c r="FS36" s="173"/>
      <c r="FT36" s="159"/>
      <c r="FU36" s="58"/>
      <c r="FV36" s="58"/>
      <c r="FW36" s="58"/>
      <c r="FX36" s="58"/>
      <c r="FY36" s="58"/>
      <c r="FZ36" s="58"/>
      <c r="GA36" s="58"/>
      <c r="GB36" s="58"/>
      <c r="GC36" s="58"/>
      <c r="GD36" s="58"/>
      <c r="GE36" s="58"/>
      <c r="GF36" s="58"/>
      <c r="GG36" s="58"/>
      <c r="GH36" s="58"/>
      <c r="GI36" s="58"/>
      <c r="GJ36" s="58"/>
      <c r="GK36" s="58"/>
      <c r="GL36" s="58"/>
      <c r="GM36" s="58"/>
      <c r="GN36" s="58"/>
      <c r="GO36" s="58"/>
      <c r="GP36" s="58"/>
      <c r="GQ36" s="58"/>
      <c r="GR36" s="58"/>
      <c r="GS36" s="58"/>
      <c r="GT36" s="58"/>
      <c r="GU36" s="58"/>
      <c r="GV36" s="58"/>
      <c r="GW36" s="58"/>
      <c r="GX36" s="58"/>
      <c r="GY36" s="58"/>
      <c r="GZ36" s="58"/>
      <c r="HA36" s="58"/>
      <c r="HB36" s="58"/>
      <c r="HC36" s="58"/>
      <c r="HD36" s="58"/>
      <c r="HE36" s="58"/>
      <c r="HF36" s="58"/>
      <c r="HG36" s="58"/>
      <c r="HH36" s="58"/>
      <c r="HI36" s="58"/>
      <c r="HJ36" s="58"/>
      <c r="HK36" s="58"/>
      <c r="HL36" s="58"/>
      <c r="HM36" s="58"/>
      <c r="HN36" s="58"/>
      <c r="HO36" s="58"/>
      <c r="HP36" s="58"/>
      <c r="HQ36" s="58"/>
      <c r="HR36" s="58"/>
      <c r="HS36" s="58"/>
      <c r="HT36" s="58"/>
      <c r="HU36" s="58"/>
      <c r="HV36" s="58"/>
      <c r="HW36" s="58"/>
      <c r="HX36" s="58"/>
      <c r="HY36" s="58"/>
      <c r="HZ36" s="58"/>
      <c r="IA36" s="58"/>
      <c r="IB36" s="58"/>
      <c r="IC36" s="58"/>
      <c r="ID36" s="58"/>
      <c r="IE36" s="58"/>
      <c r="IF36" s="58"/>
      <c r="IG36" s="58"/>
      <c r="IH36" s="58"/>
      <c r="II36" s="58"/>
      <c r="IJ36" s="58"/>
      <c r="IK36" s="58"/>
      <c r="IL36" s="58"/>
      <c r="IM36" s="58"/>
      <c r="KO36" s="84"/>
      <c r="KP36" s="85"/>
      <c r="KQ36" s="85"/>
      <c r="KR36" s="85"/>
      <c r="KS36" s="85"/>
      <c r="KT36" s="85"/>
      <c r="KU36" s="85"/>
      <c r="KV36" s="85"/>
      <c r="KW36" s="86"/>
    </row>
    <row r="37" spans="1:309" s="30" customFormat="1" ht="15" thickBot="1" x14ac:dyDescent="0.35">
      <c r="A37" s="78" t="s">
        <v>650</v>
      </c>
      <c r="B37" s="78" t="s">
        <v>56</v>
      </c>
      <c r="C37" s="78" t="s">
        <v>25</v>
      </c>
      <c r="E37" s="58"/>
      <c r="F37" s="58"/>
      <c r="G37" s="58"/>
      <c r="H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c r="BA37" s="58"/>
      <c r="BB37" s="58"/>
      <c r="BC37" s="58"/>
      <c r="BD37" s="58"/>
      <c r="BE37" s="58"/>
      <c r="BF37" s="58"/>
      <c r="BG37" s="58"/>
      <c r="BH37" s="58"/>
      <c r="BI37" s="58"/>
      <c r="BJ37" s="58"/>
      <c r="BK37" s="58"/>
      <c r="BL37" s="68"/>
      <c r="BM37" s="66"/>
      <c r="BN37" s="66"/>
      <c r="BO37" s="66"/>
      <c r="BP37" s="66"/>
      <c r="BQ37" s="66"/>
      <c r="BR37" s="66"/>
      <c r="BS37" s="66"/>
      <c r="BT37" s="66"/>
      <c r="BU37" s="66"/>
      <c r="BV37" s="67"/>
      <c r="BW37" s="58"/>
      <c r="BX37" s="58"/>
      <c r="BY37" s="58"/>
      <c r="BZ37" s="58"/>
      <c r="CA37" s="58"/>
      <c r="CB37" s="58"/>
      <c r="CC37" s="58"/>
      <c r="CD37" s="58"/>
      <c r="CE37" s="58"/>
      <c r="CF37" s="58"/>
      <c r="CG37" s="58"/>
      <c r="CH37" s="58"/>
      <c r="CI37" s="58"/>
      <c r="CJ37" s="58"/>
      <c r="CK37" s="58"/>
      <c r="CL37" s="58"/>
      <c r="CM37" s="58"/>
      <c r="CN37" s="58"/>
      <c r="CO37" s="58"/>
      <c r="CP37" s="58"/>
      <c r="CQ37" s="58"/>
      <c r="CR37" s="58"/>
      <c r="CS37" s="58"/>
      <c r="CT37" s="58"/>
      <c r="CU37" s="58"/>
      <c r="CV37" s="58"/>
      <c r="CW37" s="58"/>
      <c r="CX37" s="58"/>
      <c r="CY37" s="58"/>
      <c r="CZ37" s="58"/>
      <c r="DA37" s="58"/>
      <c r="DB37" s="58"/>
      <c r="DC37" s="58"/>
      <c r="DD37" s="58"/>
      <c r="DE37" s="58"/>
      <c r="DF37" s="58"/>
      <c r="DG37" s="58"/>
      <c r="DH37" s="58"/>
      <c r="DI37" s="58"/>
      <c r="DJ37" s="58"/>
      <c r="DK37" s="58"/>
      <c r="DL37" s="58"/>
      <c r="DM37" s="58"/>
      <c r="DN37" s="58"/>
      <c r="DO37" s="58"/>
      <c r="DP37" s="58"/>
      <c r="DQ37" s="58"/>
      <c r="DR37" s="58"/>
      <c r="DS37" s="58"/>
      <c r="DT37" s="58"/>
      <c r="DU37" s="58"/>
      <c r="DV37" s="58"/>
      <c r="DW37" s="58"/>
      <c r="DX37" s="58"/>
      <c r="DY37" s="58"/>
      <c r="DZ37" s="58"/>
      <c r="EA37" s="58"/>
      <c r="EB37" s="58"/>
      <c r="EC37" s="58"/>
      <c r="ED37" s="58"/>
      <c r="EE37" s="58"/>
      <c r="EF37" s="58"/>
      <c r="EG37" s="58"/>
      <c r="EH37" s="58"/>
      <c r="EI37" s="58"/>
      <c r="EJ37" s="58"/>
      <c r="EK37" s="58"/>
      <c r="EL37" s="58"/>
      <c r="EM37" s="58"/>
      <c r="EN37" s="58"/>
      <c r="EO37" s="58"/>
      <c r="EP37" s="58"/>
      <c r="EQ37" s="58"/>
      <c r="ER37" s="58"/>
      <c r="ES37" s="58"/>
      <c r="ET37" s="58"/>
      <c r="EU37" s="58"/>
      <c r="EV37" s="58"/>
      <c r="EW37" s="58"/>
      <c r="EX37" s="58"/>
      <c r="EY37" s="58"/>
      <c r="EZ37" s="58"/>
      <c r="FA37" s="58"/>
      <c r="FB37" s="58"/>
      <c r="FC37" s="79"/>
      <c r="FD37" s="58"/>
      <c r="FE37" s="58"/>
      <c r="FF37" s="58"/>
      <c r="FG37" s="58"/>
      <c r="FH37" s="58"/>
      <c r="FI37" s="58"/>
      <c r="FJ37" s="58"/>
      <c r="FK37" s="58"/>
      <c r="FL37" s="58"/>
      <c r="FM37" s="58"/>
      <c r="FN37" s="58"/>
      <c r="FO37" s="58"/>
      <c r="FP37" s="58"/>
      <c r="FQ37" s="58"/>
      <c r="FR37" s="58"/>
      <c r="FS37" s="58"/>
      <c r="FT37" s="58"/>
      <c r="FU37" s="58"/>
      <c r="FV37" s="58"/>
      <c r="FW37" s="58"/>
      <c r="FX37" s="58"/>
      <c r="FY37" s="58"/>
      <c r="FZ37" s="58"/>
      <c r="GA37" s="58"/>
      <c r="GB37" s="58"/>
      <c r="GC37" s="58"/>
      <c r="GD37" s="58"/>
      <c r="GE37" s="58"/>
      <c r="GF37" s="58"/>
      <c r="GG37" s="58"/>
      <c r="GH37" s="58"/>
      <c r="GI37" s="58"/>
      <c r="GJ37" s="58"/>
      <c r="GK37" s="58"/>
      <c r="GL37" s="58"/>
      <c r="GM37" s="58"/>
      <c r="GN37" s="58"/>
      <c r="GO37" s="58"/>
      <c r="GP37" s="58"/>
      <c r="GQ37" s="58"/>
      <c r="GR37" s="58"/>
      <c r="GS37" s="58"/>
      <c r="GT37" s="58"/>
      <c r="GU37" s="58"/>
      <c r="GV37" s="58"/>
      <c r="GW37" s="58"/>
      <c r="GX37" s="58"/>
      <c r="GY37" s="58"/>
      <c r="GZ37" s="58"/>
      <c r="HA37" s="58"/>
      <c r="HB37" s="58"/>
      <c r="HC37" s="58"/>
      <c r="HD37" s="58"/>
      <c r="HE37" s="58"/>
      <c r="HF37" s="58"/>
      <c r="HG37" s="58"/>
      <c r="HH37" s="58"/>
      <c r="HI37" s="58"/>
      <c r="HJ37" s="58"/>
      <c r="HK37" s="58"/>
      <c r="HL37" s="58"/>
      <c r="HM37" s="58"/>
      <c r="HN37" s="58"/>
      <c r="HO37" s="58"/>
      <c r="HP37" s="58"/>
      <c r="HQ37" s="58"/>
      <c r="HR37" s="58"/>
      <c r="HS37" s="58"/>
      <c r="HT37" s="58"/>
      <c r="HU37" s="58"/>
      <c r="HV37" s="58"/>
      <c r="HW37" s="58"/>
      <c r="HX37" s="58"/>
      <c r="HY37" s="58"/>
      <c r="HZ37" s="58"/>
      <c r="IA37" s="58"/>
      <c r="IB37" s="58"/>
      <c r="IC37" s="58"/>
      <c r="ID37" s="58"/>
      <c r="IE37" s="58"/>
      <c r="IF37" s="58"/>
      <c r="IG37" s="58"/>
      <c r="IH37" s="58"/>
      <c r="II37" s="58"/>
      <c r="IJ37" s="58"/>
      <c r="IK37" s="58"/>
      <c r="IL37" s="58"/>
      <c r="IM37" s="58"/>
      <c r="KO37" s="84"/>
      <c r="KP37" s="85"/>
      <c r="KQ37" s="85"/>
      <c r="KR37" s="85"/>
      <c r="KS37" s="85"/>
      <c r="KT37" s="85"/>
      <c r="KU37" s="85"/>
      <c r="KV37" s="85"/>
      <c r="KW37" s="86"/>
    </row>
    <row r="38" spans="1:309" s="30" customFormat="1" ht="15" thickBot="1" x14ac:dyDescent="0.35">
      <c r="A38" s="78" t="s">
        <v>650</v>
      </c>
      <c r="B38" s="78" t="s">
        <v>58</v>
      </c>
      <c r="C38" s="78" t="s">
        <v>25</v>
      </c>
      <c r="E38" s="58"/>
      <c r="F38" s="58"/>
      <c r="G38" s="58"/>
      <c r="H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c r="BA38" s="58"/>
      <c r="BB38" s="58"/>
      <c r="BC38" s="58"/>
      <c r="BD38" s="58"/>
      <c r="BE38" s="58"/>
      <c r="BF38" s="58"/>
      <c r="BG38" s="58"/>
      <c r="BH38" s="58"/>
      <c r="BI38" s="58"/>
      <c r="BJ38" s="58"/>
      <c r="BK38" s="58"/>
      <c r="BL38" s="68"/>
      <c r="BM38" s="66"/>
      <c r="BN38" s="66"/>
      <c r="BO38" s="66"/>
      <c r="BP38" s="66"/>
      <c r="BQ38" s="66"/>
      <c r="BR38" s="66"/>
      <c r="BS38" s="66"/>
      <c r="BT38" s="66"/>
      <c r="BU38" s="66"/>
      <c r="BV38" s="67"/>
      <c r="BW38" s="58"/>
      <c r="BX38" s="58"/>
      <c r="BY38" s="58"/>
      <c r="BZ38" s="58"/>
      <c r="CA38" s="58"/>
      <c r="CB38" s="58"/>
      <c r="CC38" s="58"/>
      <c r="CD38" s="58"/>
      <c r="CE38" s="58"/>
      <c r="CF38" s="58"/>
      <c r="CG38" s="58"/>
      <c r="CH38" s="58"/>
      <c r="CI38" s="58"/>
      <c r="CJ38" s="58"/>
      <c r="CK38" s="58"/>
      <c r="CL38" s="58"/>
      <c r="CM38" s="58"/>
      <c r="CN38" s="58"/>
      <c r="CO38" s="58"/>
      <c r="CP38" s="58"/>
      <c r="CQ38" s="58"/>
      <c r="CR38" s="58"/>
      <c r="CS38" s="58"/>
      <c r="CT38" s="58"/>
      <c r="CU38" s="58"/>
      <c r="CV38" s="58"/>
      <c r="CW38" s="58"/>
      <c r="CX38" s="58"/>
      <c r="CY38" s="58"/>
      <c r="CZ38" s="58"/>
      <c r="DA38" s="58"/>
      <c r="DB38" s="58"/>
      <c r="DC38" s="58"/>
      <c r="DD38" s="58"/>
      <c r="DE38" s="58"/>
      <c r="DF38" s="58"/>
      <c r="DG38" s="58"/>
      <c r="DH38" s="58"/>
      <c r="DI38" s="58"/>
      <c r="DJ38" s="58"/>
      <c r="DK38" s="58"/>
      <c r="DL38" s="58"/>
      <c r="DM38" s="58"/>
      <c r="DN38" s="58"/>
      <c r="DO38" s="58"/>
      <c r="DP38" s="58"/>
      <c r="DQ38" s="58"/>
      <c r="DR38" s="58"/>
      <c r="DS38" s="58"/>
      <c r="DT38" s="58"/>
      <c r="DU38" s="58"/>
      <c r="DV38" s="58"/>
      <c r="DW38" s="58"/>
      <c r="DX38" s="58"/>
      <c r="DY38" s="58"/>
      <c r="DZ38" s="58"/>
      <c r="EA38" s="58"/>
      <c r="EB38" s="58"/>
      <c r="EC38" s="58"/>
      <c r="ED38" s="58"/>
      <c r="EE38" s="58"/>
      <c r="EF38" s="58"/>
      <c r="EG38" s="58"/>
      <c r="EH38" s="58"/>
      <c r="EI38" s="58"/>
      <c r="EJ38" s="58"/>
      <c r="EK38" s="58"/>
      <c r="EL38" s="58"/>
      <c r="EM38" s="58"/>
      <c r="EN38" s="58"/>
      <c r="EO38" s="58"/>
      <c r="EP38" s="58"/>
      <c r="EQ38" s="58"/>
      <c r="ER38" s="58"/>
      <c r="ES38" s="58"/>
      <c r="ET38" s="58"/>
      <c r="EU38" s="58"/>
      <c r="EV38" s="58"/>
      <c r="EW38" s="58"/>
      <c r="EX38" s="58"/>
      <c r="EY38" s="58"/>
      <c r="EZ38" s="58"/>
      <c r="FA38" s="58"/>
      <c r="FB38" s="58"/>
      <c r="FC38" s="58"/>
      <c r="FD38" s="58"/>
      <c r="FE38" s="58"/>
      <c r="FF38" s="58"/>
      <c r="FG38" s="58"/>
      <c r="FH38" s="58"/>
      <c r="FI38" s="58"/>
      <c r="FJ38" s="58"/>
      <c r="FK38" s="58"/>
      <c r="FL38" s="58"/>
      <c r="FM38" s="58"/>
      <c r="FN38" s="58"/>
      <c r="FO38" s="58"/>
      <c r="FP38" s="58"/>
      <c r="FQ38" s="58"/>
      <c r="FR38" s="58"/>
      <c r="FS38" s="58"/>
      <c r="FT38" s="58"/>
      <c r="FU38" s="58"/>
      <c r="FV38" s="58"/>
      <c r="FW38" s="58"/>
      <c r="FX38" s="79"/>
      <c r="FY38" s="58"/>
      <c r="FZ38" s="58"/>
      <c r="GA38" s="58"/>
      <c r="GB38" s="58"/>
      <c r="GC38" s="58"/>
      <c r="GD38" s="58"/>
      <c r="GE38" s="58"/>
      <c r="GF38" s="58"/>
      <c r="GG38" s="58"/>
      <c r="GH38" s="58"/>
      <c r="GI38" s="58"/>
      <c r="GJ38" s="58"/>
      <c r="GK38" s="58"/>
      <c r="GL38" s="58"/>
      <c r="GM38" s="58"/>
      <c r="GN38" s="58"/>
      <c r="GO38" s="58"/>
      <c r="GP38" s="58"/>
      <c r="GQ38" s="58"/>
      <c r="GR38" s="58"/>
      <c r="GS38" s="58"/>
      <c r="GT38" s="58"/>
      <c r="GU38" s="58"/>
      <c r="GV38" s="58"/>
      <c r="GW38" s="58"/>
      <c r="GX38" s="58"/>
      <c r="GY38" s="58"/>
      <c r="GZ38" s="58"/>
      <c r="HA38" s="58"/>
      <c r="HB38" s="58"/>
      <c r="HC38" s="58"/>
      <c r="HD38" s="58"/>
      <c r="HE38" s="58"/>
      <c r="HF38" s="58"/>
      <c r="HG38" s="58"/>
      <c r="HH38" s="58"/>
      <c r="HI38" s="58"/>
      <c r="HJ38" s="58"/>
      <c r="HK38" s="58"/>
      <c r="HL38" s="58"/>
      <c r="HM38" s="58"/>
      <c r="HN38" s="58"/>
      <c r="HO38" s="58"/>
      <c r="HP38" s="58"/>
      <c r="HQ38" s="58"/>
      <c r="HR38" s="58"/>
      <c r="HS38" s="58"/>
      <c r="HT38" s="58"/>
      <c r="HU38" s="58"/>
      <c r="HV38" s="58"/>
      <c r="HW38" s="58"/>
      <c r="HX38" s="58"/>
      <c r="HY38" s="58"/>
      <c r="HZ38" s="58"/>
      <c r="IA38" s="58"/>
      <c r="IB38" s="58"/>
      <c r="IC38" s="58"/>
      <c r="ID38" s="58"/>
      <c r="IE38" s="58"/>
      <c r="IF38" s="58"/>
      <c r="IG38" s="58"/>
      <c r="IH38" s="58"/>
      <c r="II38" s="58"/>
      <c r="IJ38" s="58"/>
      <c r="IK38" s="58"/>
      <c r="IL38" s="58"/>
      <c r="IM38" s="58"/>
      <c r="IN38" s="58"/>
      <c r="IO38" s="58"/>
      <c r="IP38" s="58"/>
      <c r="IQ38" s="58"/>
      <c r="IR38" s="58"/>
      <c r="IS38" s="58"/>
      <c r="IT38" s="58"/>
      <c r="IU38" s="58"/>
      <c r="IV38" s="58"/>
      <c r="IW38" s="58"/>
      <c r="IX38" s="58"/>
      <c r="IY38" s="58"/>
      <c r="IZ38" s="58"/>
      <c r="JA38" s="58"/>
      <c r="JB38" s="58"/>
      <c r="JC38" s="58"/>
      <c r="JD38" s="58"/>
      <c r="JE38" s="58"/>
      <c r="JF38" s="58"/>
      <c r="JG38" s="58"/>
      <c r="JH38" s="58"/>
      <c r="JI38" s="58"/>
      <c r="JJ38" s="58"/>
      <c r="JK38" s="58"/>
      <c r="JL38" s="58"/>
      <c r="JM38" s="58"/>
      <c r="JN38" s="58"/>
      <c r="JO38" s="58"/>
      <c r="JP38" s="58"/>
      <c r="JQ38" s="58"/>
      <c r="JR38" s="58"/>
      <c r="JS38" s="58"/>
      <c r="JT38" s="58"/>
      <c r="JU38" s="58"/>
      <c r="JV38" s="58"/>
      <c r="JW38" s="58"/>
      <c r="JX38" s="58"/>
      <c r="JY38" s="58"/>
      <c r="JZ38" s="58"/>
      <c r="KA38" s="58"/>
      <c r="KB38" s="58"/>
      <c r="KC38" s="58"/>
      <c r="KD38" s="58"/>
      <c r="KE38" s="58"/>
      <c r="KF38" s="58"/>
      <c r="KG38" s="58"/>
      <c r="KH38" s="58"/>
      <c r="KI38" s="58"/>
      <c r="KJ38" s="58"/>
      <c r="KK38" s="58"/>
      <c r="KL38" s="58"/>
      <c r="KM38" s="58"/>
      <c r="KN38" s="58"/>
      <c r="KO38" s="68"/>
      <c r="KP38" s="85"/>
      <c r="KQ38" s="85"/>
      <c r="KR38" s="85"/>
      <c r="KS38" s="85"/>
      <c r="KT38" s="85"/>
      <c r="KU38" s="85"/>
      <c r="KV38" s="85"/>
      <c r="KW38" s="86"/>
    </row>
    <row r="39" spans="1:309" s="30" customFormat="1" ht="15" hidden="1" thickBot="1" x14ac:dyDescent="0.35">
      <c r="A39" s="37" t="s">
        <v>545</v>
      </c>
      <c r="B39" s="37" t="s">
        <v>81</v>
      </c>
      <c r="C39" s="37" t="s">
        <v>10</v>
      </c>
      <c r="E39" s="74"/>
      <c r="F39" s="74"/>
      <c r="G39" s="74"/>
      <c r="H39" s="74"/>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B39" s="58"/>
      <c r="BC39" s="58"/>
      <c r="BD39" s="58"/>
      <c r="BE39" s="58"/>
      <c r="BF39" s="58"/>
      <c r="BG39" s="58"/>
      <c r="BH39" s="58"/>
      <c r="BI39" s="58"/>
      <c r="BJ39" s="58"/>
      <c r="BK39" s="58"/>
      <c r="BL39" s="58"/>
      <c r="BM39" s="58"/>
      <c r="BN39" s="58"/>
      <c r="BO39" s="58"/>
      <c r="BP39" s="58"/>
      <c r="BQ39" s="58"/>
      <c r="BR39" s="58"/>
      <c r="BS39" s="58"/>
      <c r="BT39" s="58"/>
      <c r="BU39" s="58"/>
      <c r="BV39" s="58"/>
      <c r="BW39" s="58"/>
      <c r="BX39" s="58"/>
      <c r="BY39" s="58"/>
      <c r="BZ39" s="58"/>
      <c r="CA39" s="58"/>
      <c r="CB39" s="58"/>
      <c r="CC39" s="58"/>
      <c r="CD39" s="58"/>
      <c r="CE39" s="58"/>
      <c r="CF39" s="68"/>
      <c r="CG39" s="66"/>
      <c r="CH39" s="66"/>
      <c r="CI39" s="66"/>
      <c r="CJ39" s="66"/>
      <c r="CK39" s="66"/>
      <c r="CL39" s="66"/>
      <c r="CM39" s="66"/>
      <c r="CN39" s="67"/>
      <c r="CO39" s="58"/>
      <c r="CP39" s="58"/>
      <c r="CQ39" s="58"/>
      <c r="CR39" s="58"/>
      <c r="CS39" s="58"/>
      <c r="CT39" s="58"/>
      <c r="CU39" s="58"/>
      <c r="CV39" s="58"/>
      <c r="CW39" s="58"/>
      <c r="CX39" s="58"/>
      <c r="CY39" s="58"/>
      <c r="CZ39" s="58"/>
      <c r="DA39" s="58"/>
      <c r="DB39" s="58"/>
      <c r="DC39" s="58"/>
      <c r="DD39" s="58"/>
      <c r="DE39" s="58"/>
      <c r="DF39" s="58"/>
      <c r="DG39" s="58"/>
      <c r="DH39" s="58"/>
      <c r="DI39" s="58"/>
      <c r="DJ39" s="58"/>
      <c r="DK39" s="58"/>
      <c r="DL39" s="58"/>
      <c r="DM39" s="58"/>
      <c r="DN39" s="58"/>
      <c r="DO39" s="58"/>
      <c r="DP39" s="58"/>
      <c r="DQ39" s="58"/>
      <c r="DR39" s="58"/>
      <c r="DS39" s="58"/>
      <c r="DT39" s="58"/>
      <c r="DU39" s="58"/>
      <c r="DV39" s="58"/>
      <c r="DW39" s="58"/>
      <c r="DX39" s="58"/>
      <c r="DY39" s="58"/>
      <c r="DZ39" s="58"/>
      <c r="EA39" s="58"/>
      <c r="EB39" s="58"/>
      <c r="EC39" s="58"/>
      <c r="ED39" s="58"/>
      <c r="EE39" s="58"/>
      <c r="EF39" s="58"/>
      <c r="EG39" s="58"/>
      <c r="EH39" s="58"/>
      <c r="EI39" s="58"/>
      <c r="EJ39" s="58"/>
      <c r="EK39" s="58"/>
      <c r="EL39" s="58"/>
      <c r="EM39" s="58"/>
      <c r="EN39" s="58"/>
      <c r="EO39" s="58"/>
      <c r="EP39" s="58"/>
      <c r="EQ39" s="58"/>
      <c r="ER39" s="58"/>
      <c r="ES39" s="58"/>
      <c r="ET39" s="58"/>
      <c r="EU39" s="58"/>
      <c r="EV39" s="58"/>
      <c r="EW39" s="58"/>
      <c r="EX39" s="58"/>
      <c r="EY39" s="58"/>
      <c r="EZ39" s="58"/>
      <c r="FA39" s="58"/>
      <c r="FB39" s="58"/>
      <c r="FC39" s="58"/>
      <c r="FD39" s="58"/>
      <c r="FE39" s="58"/>
      <c r="FF39" s="58"/>
      <c r="FG39" s="58"/>
      <c r="FH39" s="58"/>
      <c r="FI39" s="58"/>
      <c r="FJ39" s="58"/>
      <c r="FK39" s="58"/>
      <c r="FL39" s="58"/>
      <c r="FM39" s="58"/>
      <c r="FN39" s="58"/>
      <c r="FO39" s="58"/>
      <c r="FP39" s="58"/>
      <c r="FQ39" s="58"/>
      <c r="FR39" s="58"/>
      <c r="FS39" s="58"/>
      <c r="FT39" s="58"/>
      <c r="FU39" s="58"/>
      <c r="FV39" s="58"/>
      <c r="FW39" s="58"/>
      <c r="FX39" s="58"/>
      <c r="FY39" s="58"/>
      <c r="FZ39" s="58"/>
      <c r="GA39" s="58"/>
      <c r="GB39" s="58"/>
      <c r="GC39" s="58"/>
      <c r="GD39" s="58"/>
      <c r="GE39" s="58"/>
      <c r="GF39" s="58"/>
      <c r="GG39" s="58"/>
      <c r="GH39" s="58"/>
      <c r="GI39" s="58"/>
      <c r="GJ39" s="58"/>
      <c r="GK39" s="58"/>
      <c r="GL39" s="58"/>
      <c r="GM39" s="58"/>
      <c r="GN39" s="58"/>
      <c r="GO39" s="58"/>
      <c r="GP39" s="58"/>
      <c r="GQ39" s="58"/>
      <c r="GR39" s="58"/>
      <c r="GS39" s="58"/>
      <c r="GT39" s="58"/>
      <c r="GU39" s="58"/>
      <c r="GV39" s="58"/>
      <c r="GW39" s="58"/>
      <c r="GX39" s="58"/>
      <c r="GY39" s="58"/>
      <c r="GZ39" s="58"/>
      <c r="HA39" s="58"/>
      <c r="HB39" s="58"/>
      <c r="HC39" s="58"/>
      <c r="HD39" s="58"/>
      <c r="HE39" s="58"/>
      <c r="HF39" s="58"/>
      <c r="HG39" s="58"/>
      <c r="HH39" s="58"/>
      <c r="HI39" s="58"/>
      <c r="HJ39" s="58"/>
      <c r="HK39" s="58"/>
      <c r="HL39" s="58"/>
      <c r="HM39" s="58"/>
      <c r="HN39" s="58"/>
      <c r="HO39" s="58"/>
      <c r="HP39" s="58"/>
      <c r="HQ39" s="58"/>
      <c r="HR39" s="58"/>
      <c r="HS39" s="58"/>
      <c r="HT39" s="58"/>
      <c r="HU39" s="58"/>
      <c r="HV39" s="58"/>
      <c r="HW39" s="58"/>
      <c r="HX39" s="58"/>
      <c r="HY39" s="58"/>
      <c r="HZ39" s="58"/>
      <c r="IA39" s="58"/>
      <c r="IB39" s="58"/>
      <c r="IC39" s="58"/>
      <c r="ID39" s="58"/>
      <c r="IE39" s="58"/>
      <c r="IF39" s="58"/>
      <c r="IG39" s="58"/>
      <c r="IH39" s="58"/>
      <c r="II39" s="58"/>
      <c r="IJ39" s="58"/>
      <c r="IK39" s="58"/>
      <c r="IL39" s="58"/>
      <c r="IM39" s="58"/>
    </row>
    <row r="40" spans="1:309" s="30" customFormat="1" ht="15" hidden="1" thickBot="1" x14ac:dyDescent="0.35">
      <c r="A40" s="19" t="s">
        <v>545</v>
      </c>
      <c r="B40" s="19" t="s">
        <v>55</v>
      </c>
      <c r="C40" s="19" t="s">
        <v>22</v>
      </c>
      <c r="E40" s="59"/>
      <c r="F40" s="72"/>
      <c r="G40" s="72"/>
      <c r="H40" s="72"/>
      <c r="I40" s="58"/>
      <c r="J40" s="58"/>
      <c r="K40" s="58"/>
      <c r="L40" s="58"/>
      <c r="M40" s="68"/>
      <c r="N40" s="66"/>
      <c r="O40" s="66"/>
      <c r="P40" s="66"/>
      <c r="Q40" s="66"/>
      <c r="R40" s="67"/>
      <c r="S40" s="68"/>
      <c r="T40" s="66"/>
      <c r="U40" s="66"/>
      <c r="V40" s="66"/>
      <c r="W40" s="66"/>
      <c r="X40" s="66"/>
      <c r="Y40" s="66"/>
      <c r="Z40" s="66"/>
      <c r="AA40" s="66"/>
      <c r="AB40" s="66"/>
      <c r="AC40" s="67"/>
      <c r="AD40" s="58"/>
      <c r="AE40" s="58"/>
      <c r="AF40" s="58" t="s">
        <v>263</v>
      </c>
      <c r="AG40" s="58" t="s">
        <v>263</v>
      </c>
      <c r="AH40" s="58" t="s">
        <v>263</v>
      </c>
      <c r="AI40" s="58" t="s">
        <v>263</v>
      </c>
      <c r="AJ40" s="58" t="s">
        <v>263</v>
      </c>
      <c r="AK40" s="58" t="s">
        <v>263</v>
      </c>
      <c r="AL40" s="58" t="s">
        <v>263</v>
      </c>
      <c r="AM40" s="58" t="s">
        <v>263</v>
      </c>
      <c r="AN40" s="58" t="s">
        <v>263</v>
      </c>
      <c r="AO40" s="58" t="s">
        <v>263</v>
      </c>
      <c r="AP40" s="58" t="s">
        <v>263</v>
      </c>
      <c r="AQ40" s="58" t="s">
        <v>263</v>
      </c>
      <c r="AR40" s="58" t="s">
        <v>263</v>
      </c>
      <c r="AS40" s="58" t="s">
        <v>263</v>
      </c>
      <c r="AT40" s="58" t="s">
        <v>263</v>
      </c>
      <c r="AU40" s="58" t="s">
        <v>263</v>
      </c>
      <c r="AV40" s="58" t="s">
        <v>263</v>
      </c>
      <c r="AW40" s="58" t="s">
        <v>263</v>
      </c>
      <c r="AX40" s="58" t="s">
        <v>263</v>
      </c>
      <c r="AY40" s="58" t="s">
        <v>263</v>
      </c>
      <c r="AZ40" s="58" t="s">
        <v>263</v>
      </c>
      <c r="BA40" s="58" t="s">
        <v>263</v>
      </c>
      <c r="BB40" s="58" t="s">
        <v>263</v>
      </c>
      <c r="BC40" s="58" t="s">
        <v>263</v>
      </c>
      <c r="BD40" s="58" t="s">
        <v>263</v>
      </c>
      <c r="BE40" s="58" t="s">
        <v>263</v>
      </c>
      <c r="BF40" s="58" t="s">
        <v>263</v>
      </c>
      <c r="BG40" s="58" t="s">
        <v>263</v>
      </c>
      <c r="BH40" s="58" t="s">
        <v>263</v>
      </c>
      <c r="BI40" s="58" t="s">
        <v>263</v>
      </c>
      <c r="BJ40" s="58" t="s">
        <v>263</v>
      </c>
      <c r="BK40" s="58" t="s">
        <v>263</v>
      </c>
      <c r="BL40" s="58" t="s">
        <v>263</v>
      </c>
      <c r="BM40" s="58" t="s">
        <v>263</v>
      </c>
      <c r="BN40" s="58" t="s">
        <v>263</v>
      </c>
      <c r="BO40" s="58" t="s">
        <v>263</v>
      </c>
      <c r="BP40" s="58" t="s">
        <v>263</v>
      </c>
      <c r="BQ40" s="58" t="s">
        <v>263</v>
      </c>
      <c r="BR40" s="58" t="s">
        <v>263</v>
      </c>
      <c r="BS40" s="58" t="s">
        <v>263</v>
      </c>
      <c r="BT40" s="58" t="s">
        <v>263</v>
      </c>
      <c r="BU40" s="58" t="s">
        <v>263</v>
      </c>
      <c r="BV40" s="58" t="s">
        <v>263</v>
      </c>
      <c r="BW40" s="58" t="s">
        <v>263</v>
      </c>
      <c r="BX40" s="58" t="s">
        <v>263</v>
      </c>
      <c r="BY40" s="58" t="s">
        <v>263</v>
      </c>
      <c r="BZ40" s="58" t="s">
        <v>263</v>
      </c>
      <c r="CA40" s="58" t="s">
        <v>263</v>
      </c>
      <c r="CB40" s="58" t="s">
        <v>263</v>
      </c>
      <c r="CC40" s="58" t="s">
        <v>263</v>
      </c>
      <c r="CD40" s="58" t="s">
        <v>263</v>
      </c>
      <c r="CE40" s="58" t="s">
        <v>263</v>
      </c>
      <c r="CF40" s="58" t="s">
        <v>263</v>
      </c>
      <c r="CG40" s="58" t="s">
        <v>263</v>
      </c>
      <c r="CH40" s="58" t="s">
        <v>263</v>
      </c>
      <c r="CI40" s="58" t="s">
        <v>263</v>
      </c>
      <c r="CJ40" s="58" t="s">
        <v>263</v>
      </c>
      <c r="CK40" s="58" t="s">
        <v>263</v>
      </c>
      <c r="CL40" s="58" t="s">
        <v>263</v>
      </c>
      <c r="CM40" s="58" t="s">
        <v>263</v>
      </c>
      <c r="CN40" s="58" t="s">
        <v>263</v>
      </c>
      <c r="CO40" s="58" t="s">
        <v>263</v>
      </c>
      <c r="CP40" s="58" t="s">
        <v>263</v>
      </c>
      <c r="CQ40" s="58" t="s">
        <v>263</v>
      </c>
      <c r="CR40" s="58" t="s">
        <v>263</v>
      </c>
      <c r="CS40" s="58" t="s">
        <v>263</v>
      </c>
      <c r="CT40" s="58" t="s">
        <v>263</v>
      </c>
      <c r="CU40" s="58" t="s">
        <v>263</v>
      </c>
      <c r="CV40" s="58"/>
      <c r="CW40" s="58"/>
      <c r="CX40" s="58"/>
      <c r="CY40" s="58"/>
      <c r="CZ40" s="58"/>
      <c r="DA40" s="58"/>
      <c r="DB40" s="58"/>
      <c r="DC40" s="58"/>
      <c r="DD40" s="58"/>
      <c r="DE40" s="58"/>
      <c r="DF40" s="58"/>
      <c r="DG40" s="58"/>
      <c r="DH40" s="58"/>
      <c r="DI40" s="58"/>
      <c r="DJ40" s="58"/>
      <c r="DK40" s="58"/>
      <c r="DL40" s="58"/>
      <c r="DM40" s="58"/>
      <c r="DN40" s="58"/>
      <c r="DO40" s="58"/>
      <c r="DP40" s="58"/>
      <c r="DQ40" s="58"/>
      <c r="DR40" s="58"/>
      <c r="DS40" s="58"/>
      <c r="DT40" s="58"/>
      <c r="DU40" s="58"/>
      <c r="DV40" s="58"/>
      <c r="DW40" s="58"/>
      <c r="DX40" s="58"/>
      <c r="DY40" s="58"/>
      <c r="DZ40" s="58"/>
      <c r="EA40" s="58"/>
      <c r="EB40" s="58"/>
      <c r="EC40" s="58"/>
      <c r="ED40" s="58"/>
      <c r="EE40" s="58"/>
      <c r="EF40" s="58"/>
      <c r="EG40" s="58"/>
      <c r="EH40" s="58"/>
      <c r="EI40" s="58"/>
      <c r="EJ40" s="58"/>
      <c r="EK40" s="58"/>
      <c r="EL40" s="58"/>
      <c r="EM40" s="58"/>
      <c r="EN40" s="58"/>
      <c r="EO40" s="58"/>
      <c r="EP40" s="58"/>
      <c r="EQ40" s="58"/>
      <c r="ER40" s="58"/>
      <c r="ES40" s="58"/>
      <c r="ET40" s="58"/>
      <c r="EU40" s="58"/>
      <c r="EV40" s="58"/>
      <c r="EW40" s="58"/>
      <c r="EX40" s="58"/>
      <c r="EY40" s="58"/>
      <c r="EZ40" s="58"/>
      <c r="FA40" s="58"/>
      <c r="FB40" s="58"/>
      <c r="FC40" s="58"/>
      <c r="FD40" s="58"/>
      <c r="FE40" s="58"/>
      <c r="FF40" s="58"/>
      <c r="FG40" s="58"/>
      <c r="FH40" s="58"/>
      <c r="FI40" s="58"/>
      <c r="FJ40" s="58"/>
      <c r="FK40" s="58"/>
      <c r="FL40" s="58"/>
      <c r="FM40" s="58"/>
      <c r="FN40" s="58"/>
      <c r="FO40" s="58"/>
      <c r="FP40" s="58"/>
      <c r="FQ40" s="58"/>
      <c r="FR40" s="58"/>
      <c r="FS40" s="58"/>
      <c r="FT40" s="58"/>
      <c r="FU40" s="58"/>
      <c r="FV40" s="58"/>
      <c r="FW40" s="58"/>
      <c r="FX40" s="58"/>
      <c r="FY40" s="58"/>
      <c r="FZ40" s="58"/>
      <c r="GA40" s="58"/>
      <c r="GB40" s="58"/>
      <c r="GC40" s="58"/>
      <c r="GD40" s="58"/>
      <c r="GE40" s="58"/>
      <c r="GF40" s="58"/>
      <c r="GG40" s="58"/>
      <c r="GH40" s="58"/>
      <c r="GI40" s="58"/>
      <c r="GJ40" s="58"/>
      <c r="GK40" s="58"/>
      <c r="GL40" s="58"/>
      <c r="GM40" s="58"/>
      <c r="GN40" s="58"/>
      <c r="GO40" s="58"/>
      <c r="GP40" s="58"/>
      <c r="GQ40" s="58"/>
      <c r="GR40" s="58"/>
      <c r="GS40" s="58"/>
      <c r="GT40" s="58"/>
      <c r="GU40" s="58"/>
      <c r="GV40" s="58"/>
      <c r="GW40" s="58"/>
      <c r="GX40" s="58"/>
      <c r="GY40" s="58"/>
      <c r="GZ40" s="58"/>
      <c r="HA40" s="58"/>
      <c r="HB40" s="58"/>
      <c r="HC40" s="58"/>
      <c r="HD40" s="58"/>
      <c r="HE40" s="58"/>
      <c r="HF40" s="58"/>
      <c r="HG40" s="58"/>
      <c r="HH40" s="58"/>
      <c r="HI40" s="58"/>
      <c r="HJ40" s="58"/>
      <c r="HK40" s="58"/>
      <c r="HL40" s="58"/>
      <c r="HM40" s="58"/>
      <c r="HN40" s="58"/>
      <c r="HO40" s="58"/>
      <c r="HP40" s="58"/>
      <c r="HQ40" s="58"/>
      <c r="HR40" s="58"/>
      <c r="HS40" s="58"/>
      <c r="HT40" s="58"/>
      <c r="HU40" s="58"/>
      <c r="HV40" s="58"/>
      <c r="HW40" s="58"/>
      <c r="HX40" s="58"/>
      <c r="HY40" s="58"/>
      <c r="HZ40" s="58"/>
      <c r="IA40" s="58"/>
      <c r="IB40" s="58"/>
      <c r="IC40" s="58"/>
      <c r="ID40" s="58"/>
      <c r="IE40" s="58"/>
      <c r="IF40" s="58"/>
      <c r="IG40" s="58"/>
      <c r="IH40" s="58"/>
      <c r="II40" s="58"/>
      <c r="IJ40" s="58"/>
      <c r="IK40" s="58"/>
      <c r="IL40" s="58"/>
      <c r="IM40" s="58"/>
      <c r="IN40" s="58"/>
      <c r="IO40" s="58"/>
      <c r="IP40" s="58"/>
      <c r="IQ40" s="58"/>
      <c r="IR40" s="58"/>
      <c r="IS40" s="58"/>
      <c r="IT40" s="58"/>
      <c r="IU40" s="58"/>
      <c r="IV40" s="58"/>
      <c r="IW40" s="58"/>
      <c r="IX40" s="58"/>
      <c r="IY40" s="58"/>
      <c r="IZ40" s="58"/>
      <c r="JA40" s="58"/>
      <c r="JB40" s="58"/>
      <c r="JC40" s="58"/>
      <c r="JD40" s="58"/>
      <c r="JE40" s="58"/>
      <c r="JF40" s="58"/>
      <c r="JG40" s="58"/>
      <c r="JH40" s="58"/>
      <c r="JI40" s="58"/>
      <c r="JJ40" s="58"/>
      <c r="JK40" s="58"/>
      <c r="JL40" s="58"/>
      <c r="JM40" s="58"/>
      <c r="JN40" s="58"/>
      <c r="JO40" s="58"/>
      <c r="JP40" s="58"/>
      <c r="JQ40" s="58"/>
      <c r="JR40" s="58"/>
      <c r="JS40" s="58"/>
      <c r="JT40" s="58"/>
      <c r="JU40" s="58"/>
      <c r="JV40" s="58"/>
      <c r="JW40" s="58"/>
      <c r="JX40" s="58"/>
      <c r="JY40" s="58"/>
      <c r="JZ40" s="58"/>
      <c r="KA40" s="58"/>
    </row>
    <row r="41" spans="1:309" s="30" customFormat="1" ht="15" hidden="1" thickBot="1" x14ac:dyDescent="0.35">
      <c r="A41" s="20" t="s">
        <v>545</v>
      </c>
      <c r="B41" s="20" t="s">
        <v>371</v>
      </c>
      <c r="C41" s="20" t="s">
        <v>27</v>
      </c>
      <c r="E41" s="58"/>
      <c r="F41" s="187"/>
      <c r="G41" s="187"/>
      <c r="H41" s="187"/>
      <c r="I41" s="187"/>
      <c r="J41" s="187"/>
      <c r="K41" s="187"/>
      <c r="L41" s="187"/>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c r="BA41" s="58"/>
      <c r="BB41" s="58"/>
      <c r="BC41" s="58"/>
      <c r="BD41" s="58"/>
      <c r="BE41" s="58"/>
      <c r="BF41" s="58"/>
      <c r="BG41" s="58"/>
      <c r="BH41" s="58"/>
      <c r="BI41" s="58"/>
      <c r="BJ41" s="58"/>
      <c r="BK41" s="58"/>
      <c r="BL41" s="58"/>
      <c r="BM41" s="58"/>
      <c r="BN41" s="58"/>
      <c r="BO41" s="58"/>
      <c r="BP41" s="58"/>
      <c r="BQ41" s="58"/>
      <c r="BR41" s="58"/>
      <c r="BS41" s="58"/>
      <c r="BT41" s="58"/>
      <c r="BU41" s="58"/>
      <c r="BV41" s="58"/>
      <c r="BW41" s="58"/>
      <c r="BX41" s="58"/>
      <c r="BY41" s="58"/>
      <c r="BZ41" s="58"/>
      <c r="CA41" s="58"/>
      <c r="CB41" s="58"/>
      <c r="CC41" s="58"/>
      <c r="CD41" s="58"/>
      <c r="CE41" s="58"/>
      <c r="CF41" s="58"/>
      <c r="CG41" s="58"/>
      <c r="CH41" s="58"/>
      <c r="CI41" s="58"/>
      <c r="CJ41" s="58"/>
      <c r="CK41" s="58"/>
      <c r="CL41" s="58"/>
      <c r="CM41" s="58"/>
      <c r="CN41" s="58"/>
      <c r="CO41" s="58"/>
      <c r="CP41" s="58"/>
      <c r="CQ41" s="58"/>
      <c r="CR41" s="58"/>
      <c r="CS41" s="58"/>
      <c r="CT41" s="58"/>
      <c r="CU41" s="58"/>
      <c r="CV41" s="58"/>
      <c r="CW41" s="58"/>
      <c r="CX41" s="58"/>
      <c r="CY41" s="58"/>
      <c r="CZ41" s="58"/>
      <c r="DA41" s="58"/>
      <c r="DB41" s="58"/>
      <c r="DC41" s="58"/>
      <c r="DD41" s="58"/>
      <c r="DE41" s="58"/>
      <c r="DF41" s="58"/>
      <c r="DG41" s="58"/>
      <c r="DH41" s="58"/>
      <c r="DI41" s="58"/>
      <c r="DJ41" s="58"/>
      <c r="DK41" s="58"/>
      <c r="DL41" s="58"/>
      <c r="DM41" s="58"/>
      <c r="DN41" s="58"/>
      <c r="DO41" s="58"/>
      <c r="DP41" s="58"/>
      <c r="DQ41" s="58"/>
      <c r="DR41" s="58"/>
      <c r="DS41" s="58"/>
      <c r="DT41" s="58"/>
      <c r="DU41" s="58"/>
      <c r="DV41" s="58"/>
      <c r="DW41" s="58"/>
      <c r="DX41" s="58"/>
      <c r="DY41" s="58"/>
      <c r="DZ41" s="58"/>
      <c r="EA41" s="58"/>
      <c r="EB41" s="58"/>
      <c r="EC41" s="58"/>
      <c r="ED41" s="58"/>
      <c r="EE41" s="58"/>
      <c r="EF41" s="58"/>
      <c r="EG41" s="58"/>
      <c r="EH41" s="58"/>
      <c r="EI41" s="58"/>
      <c r="EJ41" s="58"/>
      <c r="EK41" s="58"/>
      <c r="EL41" s="58"/>
      <c r="EM41" s="58"/>
      <c r="EN41" s="58"/>
      <c r="EO41" s="58"/>
      <c r="EP41" s="58"/>
      <c r="EQ41" s="58"/>
      <c r="ER41" s="58"/>
      <c r="ES41" s="58"/>
      <c r="ET41" s="58"/>
      <c r="EU41" s="58"/>
      <c r="EV41" s="58"/>
      <c r="EW41" s="58"/>
      <c r="EX41" s="58"/>
      <c r="EY41" s="58"/>
      <c r="EZ41" s="58"/>
      <c r="FA41" s="58"/>
      <c r="FB41" s="58"/>
      <c r="FC41" s="58"/>
      <c r="FD41" s="58"/>
      <c r="FE41" s="58"/>
      <c r="FF41" s="58"/>
      <c r="FG41" s="58"/>
      <c r="FH41" s="58"/>
      <c r="FI41" s="58"/>
      <c r="FJ41" s="58"/>
      <c r="FK41" s="58"/>
      <c r="FL41" s="58"/>
      <c r="FM41" s="58"/>
      <c r="FN41" s="58"/>
      <c r="FO41" s="58"/>
      <c r="FP41" s="58"/>
      <c r="FQ41" s="58"/>
      <c r="FR41" s="58"/>
      <c r="FS41" s="58"/>
      <c r="FT41" s="58"/>
      <c r="FU41" s="58"/>
      <c r="FV41" s="58"/>
      <c r="FW41" s="58"/>
      <c r="FX41" s="58"/>
      <c r="FY41" s="58"/>
      <c r="FZ41" s="58"/>
      <c r="GA41" s="58"/>
      <c r="GB41" s="58"/>
      <c r="GC41" s="58"/>
      <c r="GD41" s="58"/>
      <c r="GE41" s="58"/>
      <c r="GF41" s="58"/>
      <c r="GG41" s="58"/>
      <c r="GH41" s="58"/>
      <c r="GI41" s="58"/>
      <c r="GJ41" s="58"/>
      <c r="GK41" s="58"/>
      <c r="GL41" s="58"/>
      <c r="GM41" s="58"/>
      <c r="GN41" s="58"/>
      <c r="GO41" s="58"/>
      <c r="GP41" s="58"/>
      <c r="GQ41" s="58"/>
      <c r="GR41" s="58"/>
      <c r="GS41" s="58"/>
      <c r="GT41" s="58"/>
      <c r="GU41" s="58"/>
      <c r="GV41" s="58"/>
      <c r="GW41" s="58"/>
      <c r="GX41" s="58"/>
      <c r="GY41" s="58"/>
      <c r="GZ41" s="58"/>
      <c r="HA41" s="58"/>
      <c r="HB41" s="58"/>
      <c r="HC41" s="58"/>
      <c r="HD41" s="58"/>
      <c r="HE41" s="58"/>
      <c r="HF41" s="58"/>
      <c r="HG41" s="58"/>
      <c r="HH41" s="58"/>
      <c r="HI41" s="58"/>
      <c r="HJ41" s="58"/>
      <c r="HK41" s="58"/>
      <c r="HL41" s="58"/>
      <c r="HM41" s="58"/>
      <c r="HN41" s="58"/>
      <c r="HO41" s="58"/>
      <c r="HP41" s="58"/>
      <c r="HQ41" s="58"/>
      <c r="HR41" s="58"/>
      <c r="HS41" s="58"/>
      <c r="HT41" s="58"/>
      <c r="HU41" s="58"/>
      <c r="HV41" s="58"/>
      <c r="HW41" s="58"/>
      <c r="HX41" s="58"/>
      <c r="HY41" s="58"/>
      <c r="HZ41" s="58"/>
      <c r="IA41" s="58"/>
      <c r="IB41" s="58"/>
      <c r="IC41" s="58"/>
      <c r="ID41" s="58"/>
      <c r="IE41" s="58"/>
      <c r="IF41" s="58"/>
      <c r="IG41" s="58"/>
      <c r="IH41" s="58"/>
      <c r="II41" s="58"/>
      <c r="IJ41" s="58"/>
      <c r="IK41" s="58"/>
      <c r="IL41" s="58"/>
      <c r="IM41" s="58"/>
    </row>
    <row r="42" spans="1:309" s="30" customFormat="1" ht="15" hidden="1" thickBot="1" x14ac:dyDescent="0.35">
      <c r="A42" s="78" t="s">
        <v>545</v>
      </c>
      <c r="B42" s="78" t="s">
        <v>57</v>
      </c>
      <c r="C42" s="78" t="s">
        <v>25</v>
      </c>
      <c r="E42" s="58"/>
      <c r="F42" s="58"/>
      <c r="G42" s="58"/>
      <c r="H42" s="58"/>
      <c r="I42" s="58"/>
      <c r="J42" s="58"/>
      <c r="K42" s="58"/>
      <c r="L42" s="79"/>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c r="BA42" s="58"/>
      <c r="BB42" s="58"/>
      <c r="BC42" s="58"/>
      <c r="BD42" s="58"/>
      <c r="BE42" s="58"/>
      <c r="BF42" s="58"/>
      <c r="BG42" s="58"/>
      <c r="BH42" s="58"/>
      <c r="BI42" s="58"/>
      <c r="BJ42" s="58"/>
      <c r="BK42" s="58"/>
      <c r="BL42" s="68"/>
      <c r="BM42" s="66"/>
      <c r="BN42" s="66"/>
      <c r="BO42" s="66"/>
      <c r="BP42" s="66"/>
      <c r="BQ42" s="66"/>
      <c r="BR42" s="66"/>
      <c r="BS42" s="66"/>
      <c r="BT42" s="66"/>
      <c r="BU42" s="66"/>
      <c r="BV42" s="67"/>
      <c r="BW42" s="58"/>
      <c r="BX42" s="58"/>
      <c r="BY42" s="58"/>
      <c r="BZ42" s="58"/>
      <c r="CA42" s="58"/>
      <c r="CB42" s="58"/>
      <c r="CC42" s="58"/>
      <c r="CD42" s="58"/>
      <c r="CE42" s="58"/>
      <c r="CF42" s="58"/>
      <c r="CG42" s="58"/>
      <c r="CH42" s="58"/>
      <c r="CI42" s="58"/>
      <c r="CJ42" s="58"/>
      <c r="CK42" s="58"/>
      <c r="CL42" s="58"/>
      <c r="CM42" s="58"/>
      <c r="CN42" s="58"/>
      <c r="CO42" s="58"/>
      <c r="CP42" s="58"/>
      <c r="CQ42" s="58"/>
      <c r="CR42" s="58"/>
      <c r="CS42" s="58"/>
      <c r="CT42" s="58"/>
      <c r="CU42" s="58"/>
      <c r="CV42" s="58"/>
      <c r="CW42" s="58"/>
      <c r="CX42" s="58"/>
      <c r="CY42" s="58"/>
      <c r="CZ42" s="58"/>
      <c r="DA42" s="58"/>
      <c r="DB42" s="58"/>
      <c r="DC42" s="58"/>
      <c r="DD42" s="58"/>
      <c r="DE42" s="58"/>
      <c r="DF42" s="58"/>
      <c r="DG42" s="58"/>
      <c r="DH42" s="58"/>
      <c r="DI42" s="58"/>
      <c r="DJ42" s="58"/>
      <c r="DK42" s="58"/>
      <c r="DL42" s="58"/>
      <c r="DM42" s="58"/>
      <c r="DN42" s="58"/>
      <c r="DO42" s="58"/>
      <c r="DP42" s="58"/>
      <c r="DQ42" s="58"/>
      <c r="DR42" s="58"/>
      <c r="DS42" s="58"/>
      <c r="DT42" s="58"/>
      <c r="DU42" s="58"/>
      <c r="DV42" s="58"/>
      <c r="DW42" s="58"/>
      <c r="DX42" s="58"/>
      <c r="DY42" s="58"/>
      <c r="DZ42" s="58"/>
      <c r="EA42" s="58"/>
      <c r="EB42" s="58"/>
      <c r="EC42" s="58"/>
      <c r="ED42" s="58"/>
      <c r="EE42" s="58"/>
      <c r="EF42" s="58"/>
      <c r="EG42" s="58"/>
      <c r="EH42" s="58"/>
      <c r="EI42" s="58"/>
      <c r="EJ42" s="58"/>
      <c r="EK42" s="58"/>
      <c r="EL42" s="58"/>
      <c r="EM42" s="58"/>
      <c r="EN42" s="58"/>
      <c r="EO42" s="58"/>
      <c r="EP42" s="58"/>
      <c r="EQ42" s="58"/>
      <c r="ER42" s="58"/>
      <c r="ES42" s="58"/>
      <c r="ET42" s="58"/>
      <c r="EU42" s="58"/>
      <c r="EV42" s="58"/>
      <c r="EW42" s="58"/>
      <c r="EX42" s="58"/>
      <c r="EY42" s="58"/>
      <c r="EZ42" s="58"/>
      <c r="FA42" s="58"/>
      <c r="FB42" s="58"/>
      <c r="FC42" s="58"/>
      <c r="FD42" s="58"/>
      <c r="FE42" s="58"/>
      <c r="FF42" s="58"/>
      <c r="FG42" s="58"/>
      <c r="FH42" s="58"/>
      <c r="FI42" s="58"/>
      <c r="FJ42" s="58"/>
      <c r="FK42" s="58"/>
      <c r="FL42" s="58"/>
      <c r="FM42" s="58"/>
      <c r="FN42" s="58"/>
      <c r="FO42" s="58"/>
      <c r="FP42" s="58"/>
      <c r="FQ42" s="58"/>
      <c r="FR42" s="58"/>
      <c r="FS42" s="58"/>
      <c r="FT42" s="58"/>
      <c r="FU42" s="58"/>
      <c r="FV42" s="58"/>
      <c r="FW42" s="58"/>
      <c r="FX42" s="58"/>
      <c r="FY42" s="58"/>
      <c r="FZ42" s="58"/>
      <c r="GA42" s="58"/>
      <c r="GB42" s="58"/>
      <c r="GC42" s="58"/>
      <c r="GD42" s="58"/>
      <c r="GE42" s="58"/>
      <c r="GF42" s="58"/>
      <c r="GG42" s="58"/>
      <c r="GH42" s="58"/>
      <c r="GI42" s="58"/>
      <c r="GJ42" s="58"/>
      <c r="GK42" s="58"/>
      <c r="GL42" s="58"/>
      <c r="GM42" s="58"/>
      <c r="GN42" s="58"/>
      <c r="GO42" s="58"/>
      <c r="GP42" s="58"/>
      <c r="GQ42" s="58"/>
      <c r="GR42" s="58"/>
      <c r="GS42" s="58"/>
      <c r="GT42" s="58"/>
      <c r="GU42" s="58"/>
      <c r="GV42" s="58"/>
      <c r="GW42" s="58"/>
      <c r="GX42" s="58"/>
      <c r="GY42" s="58"/>
      <c r="GZ42" s="58"/>
      <c r="HA42" s="58"/>
      <c r="HB42" s="58"/>
      <c r="HC42" s="58"/>
      <c r="HD42" s="58"/>
      <c r="HE42" s="58"/>
      <c r="HF42" s="58"/>
      <c r="HG42" s="58"/>
      <c r="HH42" s="58"/>
      <c r="HI42" s="58"/>
      <c r="HJ42" s="58"/>
      <c r="HK42" s="58"/>
      <c r="HL42" s="58"/>
      <c r="HM42" s="58"/>
      <c r="HN42" s="58"/>
      <c r="HO42" s="58"/>
      <c r="HP42" s="58"/>
      <c r="HQ42" s="58"/>
      <c r="HR42" s="58"/>
      <c r="HS42" s="58"/>
      <c r="HT42" s="58"/>
      <c r="HU42" s="58"/>
      <c r="HV42" s="58"/>
      <c r="HW42" s="58"/>
      <c r="HX42" s="58"/>
      <c r="HY42" s="58"/>
      <c r="HZ42" s="58"/>
      <c r="IA42" s="58"/>
      <c r="IB42" s="58"/>
      <c r="IC42" s="58"/>
      <c r="ID42" s="58"/>
      <c r="IE42" s="58"/>
      <c r="IF42" s="58"/>
      <c r="IG42" s="58"/>
      <c r="IH42" s="58"/>
      <c r="II42" s="58"/>
      <c r="IJ42" s="58"/>
      <c r="IK42" s="58"/>
      <c r="IL42" s="58"/>
      <c r="IM42" s="58"/>
      <c r="IN42" s="58"/>
      <c r="IO42" s="58"/>
      <c r="IP42" s="58"/>
      <c r="IQ42" s="58"/>
      <c r="IR42" s="58"/>
      <c r="IS42" s="58"/>
      <c r="IT42" s="58"/>
      <c r="IU42" s="58"/>
      <c r="IV42" s="58"/>
      <c r="IW42" s="58"/>
      <c r="IX42" s="58"/>
      <c r="IY42" s="58"/>
      <c r="IZ42" s="58"/>
      <c r="JA42" s="58"/>
      <c r="JB42" s="58"/>
      <c r="JC42" s="58"/>
      <c r="JD42" s="58"/>
      <c r="JE42" s="58"/>
      <c r="JF42" s="58"/>
      <c r="JG42" s="58"/>
      <c r="JH42" s="58"/>
      <c r="JI42" s="58"/>
      <c r="JJ42" s="58"/>
      <c r="JK42" s="58"/>
      <c r="JL42" s="58"/>
      <c r="JM42" s="58"/>
      <c r="JN42" s="58"/>
      <c r="JO42" s="58"/>
      <c r="JP42" s="58"/>
      <c r="JQ42" s="58"/>
      <c r="JR42" s="58"/>
      <c r="JS42" s="58"/>
      <c r="JT42" s="58"/>
      <c r="JU42" s="58"/>
      <c r="JV42" s="58"/>
      <c r="JW42" s="58"/>
      <c r="JX42" s="58"/>
      <c r="JY42" s="58"/>
      <c r="JZ42" s="58"/>
      <c r="KA42" s="58"/>
      <c r="KB42" s="58"/>
      <c r="KC42" s="58"/>
      <c r="KD42" s="58"/>
      <c r="KE42" s="58"/>
      <c r="KF42" s="58"/>
      <c r="KG42" s="58"/>
      <c r="KH42" s="58"/>
      <c r="KO42" s="84"/>
      <c r="KP42" s="85"/>
      <c r="KQ42" s="85"/>
      <c r="KR42" s="85"/>
      <c r="KS42" s="85"/>
      <c r="KT42" s="85"/>
      <c r="KU42" s="85"/>
      <c r="KV42" s="85"/>
      <c r="KW42" s="86"/>
    </row>
    <row r="43" spans="1:309" s="30" customFormat="1" ht="15" hidden="1" thickBot="1" x14ac:dyDescent="0.35">
      <c r="A43" s="19" t="s">
        <v>558</v>
      </c>
      <c r="B43" s="19" t="s">
        <v>55</v>
      </c>
      <c r="C43" s="19" t="s">
        <v>22</v>
      </c>
      <c r="E43" s="72"/>
      <c r="F43" s="72"/>
      <c r="G43" s="72"/>
      <c r="H43" s="72"/>
      <c r="I43" s="58"/>
      <c r="J43" s="58"/>
      <c r="K43" s="58"/>
      <c r="L43" s="58"/>
      <c r="M43" s="68"/>
      <c r="N43" s="66"/>
      <c r="O43" s="66"/>
      <c r="P43" s="66"/>
      <c r="Q43" s="66"/>
      <c r="R43" s="67"/>
      <c r="S43" s="68"/>
      <c r="T43" s="66"/>
      <c r="U43" s="66"/>
      <c r="V43" s="66"/>
      <c r="W43" s="66"/>
      <c r="X43" s="66"/>
      <c r="Y43" s="66"/>
      <c r="Z43" s="66"/>
      <c r="AA43" s="66"/>
      <c r="AB43" s="66"/>
      <c r="AC43" s="67"/>
      <c r="AD43" s="58"/>
      <c r="AE43" s="58"/>
      <c r="AF43" s="58" t="s">
        <v>263</v>
      </c>
      <c r="AG43" s="58" t="s">
        <v>263</v>
      </c>
      <c r="AH43" s="58" t="s">
        <v>263</v>
      </c>
      <c r="AI43" s="58" t="s">
        <v>263</v>
      </c>
      <c r="AJ43" s="58" t="s">
        <v>263</v>
      </c>
      <c r="AK43" s="58" t="s">
        <v>263</v>
      </c>
      <c r="AL43" s="58" t="s">
        <v>263</v>
      </c>
      <c r="AM43" s="58" t="s">
        <v>263</v>
      </c>
      <c r="AN43" s="58" t="s">
        <v>263</v>
      </c>
      <c r="AO43" s="58" t="s">
        <v>263</v>
      </c>
      <c r="AP43" s="58" t="s">
        <v>263</v>
      </c>
      <c r="AQ43" s="58" t="s">
        <v>263</v>
      </c>
      <c r="AR43" s="58" t="s">
        <v>263</v>
      </c>
      <c r="AS43" s="58" t="s">
        <v>263</v>
      </c>
      <c r="AT43" s="58" t="s">
        <v>263</v>
      </c>
      <c r="AU43" s="58" t="s">
        <v>263</v>
      </c>
      <c r="AV43" s="58" t="s">
        <v>263</v>
      </c>
      <c r="AW43" s="58" t="s">
        <v>263</v>
      </c>
      <c r="AX43" s="58" t="s">
        <v>263</v>
      </c>
      <c r="AY43" s="58" t="s">
        <v>263</v>
      </c>
      <c r="AZ43" s="58" t="s">
        <v>263</v>
      </c>
      <c r="BA43" s="58" t="s">
        <v>263</v>
      </c>
      <c r="BB43" s="58" t="s">
        <v>263</v>
      </c>
      <c r="BC43" s="58" t="s">
        <v>263</v>
      </c>
      <c r="BD43" s="58" t="s">
        <v>263</v>
      </c>
      <c r="BE43" s="58" t="s">
        <v>263</v>
      </c>
      <c r="BF43" s="58" t="s">
        <v>263</v>
      </c>
      <c r="BG43" s="58" t="s">
        <v>263</v>
      </c>
      <c r="BH43" s="58" t="s">
        <v>263</v>
      </c>
      <c r="BI43" s="58" t="s">
        <v>263</v>
      </c>
      <c r="BJ43" s="58" t="s">
        <v>263</v>
      </c>
      <c r="BK43" s="58" t="s">
        <v>263</v>
      </c>
      <c r="BL43" s="58" t="s">
        <v>263</v>
      </c>
      <c r="BM43" s="58" t="s">
        <v>263</v>
      </c>
      <c r="BN43" s="58" t="s">
        <v>263</v>
      </c>
      <c r="BO43" s="58" t="s">
        <v>263</v>
      </c>
      <c r="BP43" s="58" t="s">
        <v>263</v>
      </c>
      <c r="BQ43" s="58" t="s">
        <v>263</v>
      </c>
      <c r="BR43" s="58" t="s">
        <v>263</v>
      </c>
      <c r="BS43" s="58" t="s">
        <v>263</v>
      </c>
      <c r="BT43" s="58" t="s">
        <v>263</v>
      </c>
      <c r="BU43" s="58" t="s">
        <v>263</v>
      </c>
      <c r="BV43" s="58" t="s">
        <v>263</v>
      </c>
      <c r="BW43" s="58" t="s">
        <v>263</v>
      </c>
      <c r="BX43" s="58" t="s">
        <v>263</v>
      </c>
      <c r="BY43" s="58" t="s">
        <v>263</v>
      </c>
      <c r="BZ43" s="58" t="s">
        <v>263</v>
      </c>
      <c r="CA43" s="58" t="s">
        <v>263</v>
      </c>
      <c r="CB43" s="58" t="s">
        <v>263</v>
      </c>
      <c r="CC43" s="58" t="s">
        <v>263</v>
      </c>
      <c r="CD43" s="58" t="s">
        <v>263</v>
      </c>
      <c r="CE43" s="58" t="s">
        <v>263</v>
      </c>
      <c r="CF43" s="58" t="s">
        <v>263</v>
      </c>
      <c r="CG43" s="58" t="s">
        <v>263</v>
      </c>
      <c r="CH43" s="58" t="s">
        <v>263</v>
      </c>
      <c r="CI43" s="58" t="s">
        <v>263</v>
      </c>
      <c r="CJ43" s="58" t="s">
        <v>263</v>
      </c>
      <c r="CK43" s="58" t="s">
        <v>263</v>
      </c>
      <c r="CL43" s="58" t="s">
        <v>263</v>
      </c>
      <c r="CM43" s="58" t="s">
        <v>263</v>
      </c>
      <c r="CN43" s="58" t="s">
        <v>263</v>
      </c>
      <c r="CO43" s="58" t="s">
        <v>263</v>
      </c>
      <c r="CP43" s="58" t="s">
        <v>263</v>
      </c>
      <c r="CQ43" s="58" t="s">
        <v>263</v>
      </c>
      <c r="CR43" s="58" t="s">
        <v>263</v>
      </c>
      <c r="CS43" s="58" t="s">
        <v>263</v>
      </c>
      <c r="CT43" s="58" t="s">
        <v>263</v>
      </c>
      <c r="CU43" s="58" t="s">
        <v>263</v>
      </c>
      <c r="CV43" s="58"/>
      <c r="CW43" s="58"/>
      <c r="CX43" s="58"/>
      <c r="CY43" s="58"/>
      <c r="CZ43" s="58"/>
      <c r="DA43" s="58"/>
      <c r="DB43" s="58"/>
      <c r="DC43" s="58"/>
      <c r="DD43" s="58"/>
      <c r="DE43" s="58"/>
      <c r="DF43" s="58"/>
      <c r="DG43" s="58"/>
      <c r="DH43" s="58"/>
      <c r="DI43" s="58"/>
      <c r="DJ43" s="58"/>
      <c r="DK43" s="58"/>
      <c r="DL43" s="58"/>
      <c r="DM43" s="58"/>
      <c r="DN43" s="58"/>
      <c r="DO43" s="58"/>
      <c r="DP43" s="58"/>
      <c r="DQ43" s="58"/>
      <c r="DR43" s="58"/>
      <c r="DS43" s="58"/>
      <c r="DT43" s="58"/>
      <c r="DU43" s="58"/>
      <c r="DV43" s="58"/>
      <c r="DW43" s="58"/>
      <c r="DX43" s="58"/>
      <c r="DY43" s="58"/>
      <c r="DZ43" s="58"/>
      <c r="EA43" s="58"/>
      <c r="EB43" s="58"/>
      <c r="EC43" s="58"/>
      <c r="ED43" s="58"/>
      <c r="EE43" s="58"/>
      <c r="EF43" s="58"/>
      <c r="EG43" s="58"/>
      <c r="EH43" s="58"/>
      <c r="EI43" s="58"/>
      <c r="EJ43" s="58"/>
      <c r="EK43" s="58"/>
      <c r="EL43" s="58"/>
      <c r="EM43" s="58"/>
      <c r="EN43" s="58"/>
      <c r="EO43" s="58"/>
      <c r="EP43" s="58"/>
      <c r="EQ43" s="58"/>
      <c r="ER43" s="58"/>
      <c r="ES43" s="58"/>
      <c r="ET43" s="58"/>
      <c r="EU43" s="58"/>
      <c r="EV43" s="58"/>
      <c r="EW43" s="58"/>
      <c r="EX43" s="58"/>
      <c r="EY43" s="58"/>
      <c r="EZ43" s="58"/>
      <c r="FA43" s="58"/>
      <c r="FB43" s="58"/>
      <c r="FC43" s="58"/>
      <c r="FD43" s="58"/>
      <c r="FE43" s="58"/>
      <c r="FF43" s="58"/>
      <c r="FG43" s="58"/>
      <c r="FH43" s="58"/>
      <c r="FI43" s="58"/>
      <c r="FJ43" s="58"/>
      <c r="FK43" s="58"/>
      <c r="FL43" s="58"/>
      <c r="FM43" s="58"/>
      <c r="FN43" s="58"/>
      <c r="FO43" s="58"/>
      <c r="FP43" s="58"/>
      <c r="FQ43" s="58"/>
      <c r="FR43" s="58"/>
      <c r="FS43" s="58"/>
      <c r="FT43" s="58"/>
      <c r="FU43" s="58"/>
      <c r="FV43" s="58"/>
      <c r="FW43" s="58"/>
      <c r="FX43" s="58"/>
      <c r="FY43" s="58"/>
      <c r="FZ43" s="58"/>
      <c r="GA43" s="58"/>
      <c r="GB43" s="58"/>
      <c r="GC43" s="58"/>
      <c r="GD43" s="58"/>
      <c r="GE43" s="58"/>
      <c r="GF43" s="58"/>
      <c r="GG43" s="58"/>
      <c r="GH43" s="58"/>
      <c r="GI43" s="58"/>
      <c r="GJ43" s="58"/>
      <c r="GK43" s="58"/>
      <c r="GL43" s="58"/>
      <c r="GM43" s="58"/>
      <c r="GN43" s="58"/>
      <c r="GO43" s="58"/>
      <c r="GP43" s="58"/>
      <c r="GQ43" s="58"/>
      <c r="GR43" s="58"/>
      <c r="GS43" s="58"/>
      <c r="GT43" s="58"/>
      <c r="GU43" s="58"/>
      <c r="GV43" s="58"/>
      <c r="GW43" s="58"/>
      <c r="GX43" s="58"/>
      <c r="GY43" s="58"/>
      <c r="GZ43" s="58"/>
      <c r="HA43" s="58"/>
      <c r="HB43" s="58"/>
      <c r="HC43" s="58"/>
      <c r="HD43" s="58"/>
      <c r="HE43" s="58"/>
      <c r="HF43" s="58"/>
      <c r="HG43" s="58"/>
      <c r="HH43" s="58"/>
      <c r="HI43" s="58"/>
      <c r="HJ43" s="58"/>
      <c r="HK43" s="58"/>
      <c r="HL43" s="58"/>
      <c r="HM43" s="58"/>
      <c r="HN43" s="58"/>
      <c r="HO43" s="58"/>
      <c r="HP43" s="58"/>
      <c r="HQ43" s="58"/>
      <c r="HR43" s="58"/>
      <c r="HS43" s="58"/>
      <c r="HT43" s="58"/>
      <c r="HU43" s="58"/>
      <c r="HV43" s="58"/>
      <c r="HW43" s="58"/>
      <c r="HX43" s="58"/>
      <c r="HY43" s="58"/>
      <c r="HZ43" s="58"/>
      <c r="IA43" s="58"/>
      <c r="IB43" s="58"/>
      <c r="IC43" s="58"/>
      <c r="ID43" s="58"/>
      <c r="IE43" s="58"/>
      <c r="IF43" s="58"/>
      <c r="IG43" s="58"/>
      <c r="IH43" s="58"/>
      <c r="II43" s="58"/>
      <c r="IJ43" s="58"/>
      <c r="IK43" s="58"/>
      <c r="IL43" s="58"/>
      <c r="IM43" s="58"/>
      <c r="IN43" s="58"/>
      <c r="IO43" s="58"/>
      <c r="IP43" s="58"/>
      <c r="IQ43" s="58"/>
      <c r="IR43" s="58"/>
      <c r="IS43" s="58"/>
      <c r="IT43" s="58"/>
      <c r="IU43" s="58"/>
      <c r="IV43" s="58"/>
      <c r="IW43" s="58"/>
      <c r="IX43" s="58"/>
      <c r="IY43" s="58"/>
      <c r="IZ43" s="58"/>
      <c r="JA43" s="58"/>
      <c r="JB43" s="58"/>
      <c r="JC43" s="58"/>
      <c r="JD43" s="58"/>
      <c r="JE43" s="58"/>
      <c r="JF43" s="58"/>
      <c r="JG43" s="58"/>
      <c r="JH43" s="58"/>
      <c r="JI43" s="58"/>
      <c r="JJ43" s="58"/>
      <c r="JK43" s="58"/>
      <c r="JL43" s="58"/>
      <c r="JM43" s="58"/>
      <c r="JN43" s="58"/>
      <c r="JO43" s="58"/>
      <c r="JP43" s="58"/>
      <c r="JQ43" s="58"/>
      <c r="JR43" s="58"/>
      <c r="JS43" s="58"/>
      <c r="JT43" s="58"/>
      <c r="JU43" s="58"/>
      <c r="JV43" s="58"/>
      <c r="JW43" s="58"/>
      <c r="JX43" s="58"/>
      <c r="JY43" s="58"/>
      <c r="JZ43" s="58"/>
      <c r="KA43" s="58"/>
      <c r="KB43" s="58"/>
      <c r="KC43" s="58"/>
      <c r="KD43" s="58"/>
      <c r="KE43" s="58"/>
      <c r="KF43" s="58"/>
      <c r="KG43" s="58"/>
      <c r="KH43" s="58"/>
    </row>
    <row r="44" spans="1:309" s="30" customFormat="1" ht="15" hidden="1" thickBot="1" x14ac:dyDescent="0.35">
      <c r="A44" s="20" t="s">
        <v>558</v>
      </c>
      <c r="B44" s="20" t="s">
        <v>371</v>
      </c>
      <c r="C44" s="20" t="s">
        <v>27</v>
      </c>
      <c r="E44" s="187"/>
      <c r="F44" s="187"/>
      <c r="G44" s="187"/>
      <c r="H44" s="187"/>
      <c r="I44" s="187"/>
      <c r="J44" s="187"/>
      <c r="K44" s="187"/>
      <c r="L44" s="187"/>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c r="BA44" s="58"/>
      <c r="BB44" s="58"/>
      <c r="BC44" s="58"/>
      <c r="BD44" s="58"/>
      <c r="BE44" s="58"/>
      <c r="BF44" s="58"/>
      <c r="BG44" s="58"/>
      <c r="BH44" s="58"/>
      <c r="BI44" s="58"/>
      <c r="BJ44" s="58"/>
      <c r="BK44" s="58"/>
      <c r="BL44" s="58"/>
      <c r="BM44" s="58"/>
      <c r="BN44" s="58"/>
      <c r="BO44" s="58"/>
      <c r="BP44" s="58"/>
      <c r="BQ44" s="58"/>
      <c r="BR44" s="58"/>
      <c r="BS44" s="58"/>
      <c r="BT44" s="58"/>
      <c r="BU44" s="58"/>
      <c r="BV44" s="58"/>
      <c r="BW44" s="58"/>
      <c r="BX44" s="58"/>
      <c r="BY44" s="58"/>
      <c r="BZ44" s="58"/>
      <c r="CA44" s="58"/>
      <c r="CB44" s="58"/>
      <c r="CC44" s="58"/>
      <c r="CD44" s="58"/>
      <c r="CE44" s="58"/>
      <c r="CF44" s="58"/>
      <c r="CG44" s="58"/>
      <c r="CH44" s="58"/>
      <c r="CI44" s="58"/>
      <c r="CJ44" s="58"/>
      <c r="CK44" s="58"/>
      <c r="CL44" s="58"/>
      <c r="CM44" s="58"/>
      <c r="CN44" s="58"/>
      <c r="CO44" s="58"/>
      <c r="CP44" s="58"/>
      <c r="CQ44" s="58"/>
      <c r="CR44" s="58"/>
      <c r="CS44" s="58"/>
      <c r="CT44" s="58"/>
      <c r="CU44" s="58"/>
      <c r="CV44" s="58"/>
      <c r="CW44" s="58"/>
      <c r="CX44" s="58"/>
      <c r="CY44" s="58"/>
      <c r="CZ44" s="58"/>
      <c r="DA44" s="58"/>
      <c r="DB44" s="58"/>
      <c r="DC44" s="58"/>
      <c r="DD44" s="58"/>
      <c r="DE44" s="58"/>
      <c r="DF44" s="58"/>
      <c r="DG44" s="58"/>
      <c r="DH44" s="58"/>
      <c r="DI44" s="58"/>
      <c r="DJ44" s="58"/>
      <c r="DK44" s="58"/>
      <c r="DL44" s="58"/>
      <c r="DM44" s="58"/>
      <c r="DN44" s="58"/>
      <c r="DO44" s="58"/>
      <c r="DP44" s="58"/>
      <c r="DQ44" s="58"/>
      <c r="DR44" s="58"/>
      <c r="DS44" s="58"/>
      <c r="DT44" s="58"/>
      <c r="DU44" s="58"/>
      <c r="DV44" s="58"/>
      <c r="DW44" s="58"/>
      <c r="DX44" s="58"/>
      <c r="DY44" s="58"/>
      <c r="DZ44" s="58"/>
      <c r="EA44" s="58"/>
      <c r="EB44" s="58"/>
      <c r="EC44" s="58"/>
      <c r="ED44" s="58"/>
      <c r="EE44" s="58"/>
      <c r="EF44" s="58"/>
      <c r="EG44" s="58"/>
      <c r="EH44" s="58"/>
      <c r="EI44" s="58"/>
      <c r="EJ44" s="58"/>
      <c r="EK44" s="58"/>
      <c r="EL44" s="58"/>
      <c r="EM44" s="58"/>
      <c r="EN44" s="58"/>
      <c r="EO44" s="58"/>
      <c r="EP44" s="58"/>
      <c r="EQ44" s="58"/>
      <c r="ER44" s="58"/>
      <c r="ES44" s="58"/>
      <c r="ET44" s="58"/>
      <c r="EU44" s="58"/>
      <c r="EV44" s="58"/>
      <c r="EW44" s="58"/>
      <c r="EX44" s="58"/>
      <c r="EY44" s="58"/>
      <c r="EZ44" s="58"/>
      <c r="FA44" s="58"/>
      <c r="FB44" s="58"/>
      <c r="FC44" s="58"/>
      <c r="FD44" s="58"/>
      <c r="FE44" s="58"/>
      <c r="FF44" s="58"/>
      <c r="FG44" s="58"/>
      <c r="FH44" s="58"/>
      <c r="FI44" s="58"/>
      <c r="FJ44" s="58"/>
      <c r="FK44" s="58"/>
      <c r="FL44" s="58"/>
      <c r="FM44" s="58"/>
      <c r="FN44" s="58"/>
      <c r="FO44" s="58"/>
      <c r="FP44" s="58"/>
      <c r="FQ44" s="58"/>
      <c r="FR44" s="58"/>
      <c r="FS44" s="58"/>
      <c r="FT44" s="58"/>
      <c r="FU44" s="58"/>
      <c r="FV44" s="58"/>
      <c r="FW44" s="58"/>
      <c r="FX44" s="58"/>
      <c r="FY44" s="58"/>
      <c r="FZ44" s="58"/>
      <c r="GA44" s="58"/>
      <c r="GB44" s="58"/>
      <c r="GC44" s="58"/>
      <c r="GD44" s="58"/>
      <c r="GE44" s="58"/>
      <c r="GF44" s="58"/>
      <c r="GG44" s="58"/>
      <c r="GH44" s="58"/>
      <c r="GI44" s="58"/>
      <c r="GJ44" s="58"/>
      <c r="GK44" s="58"/>
      <c r="GL44" s="58"/>
      <c r="GM44" s="58"/>
      <c r="GN44" s="58"/>
      <c r="GO44" s="58"/>
      <c r="GP44" s="58"/>
      <c r="GQ44" s="58"/>
      <c r="GR44" s="58"/>
      <c r="GS44" s="58"/>
      <c r="GT44" s="58"/>
      <c r="GU44" s="58"/>
      <c r="GV44" s="58"/>
      <c r="GW44" s="58"/>
      <c r="GX44" s="58"/>
      <c r="GY44" s="58"/>
      <c r="GZ44" s="58"/>
      <c r="HA44" s="58"/>
      <c r="HB44" s="58"/>
      <c r="HC44" s="58"/>
      <c r="HD44" s="58"/>
      <c r="HE44" s="58"/>
      <c r="HF44" s="58"/>
      <c r="HG44" s="58"/>
      <c r="HH44" s="58"/>
      <c r="HI44" s="58"/>
      <c r="HJ44" s="58"/>
      <c r="HK44" s="58"/>
      <c r="HL44" s="58"/>
      <c r="HM44" s="58"/>
      <c r="HN44" s="58"/>
      <c r="HO44" s="58"/>
      <c r="HP44" s="58"/>
      <c r="HQ44" s="58"/>
      <c r="HR44" s="58"/>
      <c r="HS44" s="58"/>
      <c r="HT44" s="58"/>
      <c r="HU44" s="58"/>
      <c r="HV44" s="58"/>
      <c r="HW44" s="58"/>
      <c r="HX44" s="58"/>
      <c r="HY44" s="58"/>
      <c r="HZ44" s="58"/>
      <c r="IA44" s="58"/>
      <c r="IB44" s="58"/>
      <c r="IC44" s="58"/>
      <c r="ID44" s="58"/>
      <c r="IE44" s="58"/>
      <c r="IF44" s="58"/>
      <c r="IG44" s="58"/>
      <c r="IH44" s="58"/>
      <c r="II44" s="58"/>
      <c r="IJ44" s="58"/>
      <c r="IK44" s="58"/>
      <c r="IL44" s="58"/>
      <c r="IM44" s="58"/>
    </row>
    <row r="45" spans="1:309" s="30" customFormat="1" ht="15" hidden="1" thickBot="1" x14ac:dyDescent="0.35">
      <c r="A45" s="78" t="s">
        <v>558</v>
      </c>
      <c r="B45" s="78" t="s">
        <v>57</v>
      </c>
      <c r="C45" s="78" t="s">
        <v>25</v>
      </c>
      <c r="E45" s="58"/>
      <c r="F45" s="58"/>
      <c r="G45" s="58"/>
      <c r="H45" s="58"/>
      <c r="I45" s="58"/>
      <c r="J45" s="58"/>
      <c r="K45" s="58"/>
      <c r="L45" s="79"/>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c r="BA45" s="58"/>
      <c r="BB45" s="58"/>
      <c r="BC45" s="58"/>
      <c r="BD45" s="58"/>
      <c r="BE45" s="58"/>
      <c r="BF45" s="58"/>
      <c r="BG45" s="58"/>
      <c r="BH45" s="58"/>
      <c r="BI45" s="58"/>
      <c r="BJ45" s="58"/>
      <c r="BK45" s="58"/>
      <c r="BL45" s="68"/>
      <c r="BM45" s="66"/>
      <c r="BN45" s="66"/>
      <c r="BO45" s="66"/>
      <c r="BP45" s="66"/>
      <c r="BQ45" s="66"/>
      <c r="BR45" s="66"/>
      <c r="BS45" s="66"/>
      <c r="BT45" s="66"/>
      <c r="BU45" s="66"/>
      <c r="BV45" s="67"/>
      <c r="BW45" s="58"/>
      <c r="BX45" s="58"/>
      <c r="BY45" s="58"/>
      <c r="BZ45" s="58"/>
      <c r="CA45" s="58"/>
      <c r="CB45" s="58"/>
      <c r="CC45" s="58"/>
      <c r="CD45" s="58"/>
      <c r="CE45" s="58"/>
      <c r="CF45" s="58"/>
      <c r="CG45" s="58"/>
      <c r="CH45" s="58"/>
      <c r="CI45" s="58"/>
      <c r="CJ45" s="58"/>
      <c r="CK45" s="58"/>
      <c r="CL45" s="58"/>
      <c r="CM45" s="58"/>
      <c r="CN45" s="58"/>
      <c r="CO45" s="58"/>
      <c r="CP45" s="58"/>
      <c r="CQ45" s="58"/>
      <c r="CR45" s="58"/>
      <c r="CS45" s="58"/>
      <c r="CT45" s="58"/>
      <c r="CU45" s="58"/>
      <c r="CV45" s="58"/>
      <c r="CW45" s="58"/>
      <c r="CX45" s="58"/>
      <c r="CY45" s="58"/>
      <c r="CZ45" s="58"/>
      <c r="DA45" s="58"/>
      <c r="DB45" s="58"/>
      <c r="DC45" s="58"/>
      <c r="DD45" s="58"/>
      <c r="DE45" s="58"/>
      <c r="DF45" s="58"/>
      <c r="DG45" s="58"/>
      <c r="DH45" s="58"/>
      <c r="DI45" s="58"/>
      <c r="DJ45" s="58"/>
      <c r="DK45" s="58"/>
      <c r="DL45" s="58"/>
      <c r="DM45" s="58"/>
      <c r="DN45" s="58"/>
      <c r="DO45" s="58"/>
      <c r="DP45" s="58"/>
      <c r="DQ45" s="58"/>
      <c r="DR45" s="58"/>
      <c r="DS45" s="58"/>
      <c r="DT45" s="58"/>
      <c r="DU45" s="58"/>
      <c r="DV45" s="58"/>
      <c r="DW45" s="58"/>
      <c r="DX45" s="58"/>
      <c r="DY45" s="58"/>
      <c r="DZ45" s="58"/>
      <c r="EA45" s="58"/>
      <c r="EB45" s="58"/>
      <c r="EC45" s="58"/>
      <c r="ED45" s="58"/>
      <c r="EE45" s="58"/>
      <c r="EF45" s="58"/>
      <c r="EG45" s="58"/>
      <c r="EH45" s="58"/>
      <c r="EI45" s="58"/>
      <c r="EJ45" s="58"/>
      <c r="EK45" s="58"/>
      <c r="EL45" s="58"/>
      <c r="EM45" s="58"/>
      <c r="EN45" s="58"/>
      <c r="EO45" s="58"/>
      <c r="EP45" s="58"/>
      <c r="EQ45" s="58"/>
      <c r="ER45" s="58"/>
      <c r="ES45" s="58"/>
      <c r="ET45" s="58"/>
      <c r="EU45" s="58"/>
      <c r="EV45" s="58"/>
      <c r="EW45" s="58"/>
      <c r="EX45" s="58"/>
      <c r="EY45" s="58"/>
      <c r="EZ45" s="58"/>
      <c r="FA45" s="58"/>
      <c r="FB45" s="58"/>
      <c r="FC45" s="58"/>
      <c r="FD45" s="58"/>
      <c r="FE45" s="58"/>
      <c r="FF45" s="58"/>
      <c r="FG45" s="58"/>
      <c r="FH45" s="58"/>
      <c r="FI45" s="58"/>
      <c r="FJ45" s="58"/>
      <c r="FK45" s="58"/>
      <c r="FL45" s="58"/>
      <c r="FM45" s="58"/>
      <c r="FN45" s="58"/>
      <c r="FO45" s="58"/>
      <c r="FP45" s="58"/>
      <c r="FQ45" s="58"/>
      <c r="FR45" s="58"/>
      <c r="FS45" s="58"/>
      <c r="FT45" s="58"/>
      <c r="FU45" s="58"/>
      <c r="FV45" s="58"/>
      <c r="FW45" s="58"/>
      <c r="FX45" s="58"/>
      <c r="FY45" s="58"/>
      <c r="FZ45" s="58"/>
      <c r="GA45" s="58"/>
      <c r="GB45" s="58"/>
      <c r="GC45" s="58"/>
      <c r="GD45" s="58"/>
      <c r="GE45" s="58"/>
      <c r="GF45" s="58"/>
      <c r="GG45" s="58"/>
      <c r="GH45" s="58"/>
      <c r="GI45" s="58"/>
      <c r="GJ45" s="58"/>
      <c r="GK45" s="58"/>
      <c r="GL45" s="58"/>
      <c r="GM45" s="58"/>
      <c r="GN45" s="58"/>
      <c r="GO45" s="58"/>
      <c r="GP45" s="58"/>
      <c r="GQ45" s="58"/>
      <c r="GR45" s="58"/>
      <c r="GS45" s="58"/>
      <c r="GT45" s="58"/>
      <c r="GU45" s="58"/>
      <c r="GV45" s="58"/>
      <c r="GW45" s="58"/>
      <c r="GX45" s="58"/>
      <c r="GY45" s="58"/>
      <c r="GZ45" s="58"/>
      <c r="HA45" s="58"/>
      <c r="HB45" s="58"/>
      <c r="HC45" s="58"/>
      <c r="HD45" s="58"/>
      <c r="HE45" s="58"/>
      <c r="HF45" s="58"/>
      <c r="HG45" s="58"/>
      <c r="HH45" s="58"/>
      <c r="HI45" s="58"/>
      <c r="HJ45" s="58"/>
      <c r="HK45" s="58"/>
      <c r="HL45" s="58"/>
      <c r="HM45" s="58"/>
      <c r="HN45" s="58"/>
      <c r="HO45" s="58"/>
      <c r="HP45" s="58"/>
      <c r="HQ45" s="58"/>
      <c r="HR45" s="58"/>
      <c r="HS45" s="58"/>
      <c r="HT45" s="58"/>
      <c r="HU45" s="58"/>
      <c r="HV45" s="58"/>
      <c r="HW45" s="58"/>
      <c r="HX45" s="58"/>
      <c r="HY45" s="58"/>
      <c r="HZ45" s="58"/>
      <c r="IA45" s="58"/>
      <c r="IB45" s="58"/>
      <c r="IC45" s="58"/>
      <c r="ID45" s="58"/>
      <c r="IE45" s="58"/>
      <c r="IF45" s="58"/>
      <c r="IG45" s="58"/>
      <c r="IH45" s="58"/>
      <c r="II45" s="58"/>
      <c r="IJ45" s="58"/>
      <c r="IK45" s="58"/>
      <c r="IL45" s="58"/>
      <c r="IM45" s="58"/>
      <c r="KO45" s="84"/>
      <c r="KP45" s="85"/>
      <c r="KQ45" s="85"/>
      <c r="KR45" s="85"/>
      <c r="KS45" s="85"/>
      <c r="KT45" s="85"/>
      <c r="KU45" s="85"/>
      <c r="KV45" s="85"/>
      <c r="KW45" s="86"/>
    </row>
    <row r="46" spans="1:309" s="30" customFormat="1" ht="15" hidden="1" thickBot="1" x14ac:dyDescent="0.35">
      <c r="A46" s="19" t="s">
        <v>485</v>
      </c>
      <c r="B46" s="19" t="s">
        <v>55</v>
      </c>
      <c r="C46" s="19" t="s">
        <v>22</v>
      </c>
      <c r="E46" s="72"/>
      <c r="F46" s="72"/>
      <c r="G46" s="72"/>
      <c r="H46" s="72"/>
      <c r="I46" s="58"/>
      <c r="J46" s="58"/>
      <c r="K46" s="58"/>
      <c r="L46" s="58"/>
      <c r="M46" s="68"/>
      <c r="N46" s="66"/>
      <c r="O46" s="66"/>
      <c r="P46" s="66"/>
      <c r="Q46" s="66"/>
      <c r="R46" s="67"/>
      <c r="S46" s="68"/>
      <c r="T46" s="66"/>
      <c r="U46" s="66"/>
      <c r="V46" s="66"/>
      <c r="W46" s="66"/>
      <c r="X46" s="66"/>
      <c r="Y46" s="66"/>
      <c r="Z46" s="66"/>
      <c r="AA46" s="66"/>
      <c r="AB46" s="66"/>
      <c r="AC46" s="67"/>
      <c r="AD46" s="58"/>
      <c r="AE46" s="58"/>
      <c r="AF46" s="58" t="s">
        <v>263</v>
      </c>
      <c r="AG46" s="58" t="s">
        <v>263</v>
      </c>
      <c r="AH46" s="58" t="s">
        <v>263</v>
      </c>
      <c r="AI46" s="58" t="s">
        <v>263</v>
      </c>
      <c r="AJ46" s="58" t="s">
        <v>263</v>
      </c>
      <c r="AK46" s="58" t="s">
        <v>263</v>
      </c>
      <c r="AL46" s="58" t="s">
        <v>263</v>
      </c>
      <c r="AM46" s="58" t="s">
        <v>263</v>
      </c>
      <c r="AN46" s="58" t="s">
        <v>263</v>
      </c>
      <c r="AO46" s="58" t="s">
        <v>263</v>
      </c>
      <c r="AP46" s="58" t="s">
        <v>263</v>
      </c>
      <c r="AQ46" s="58" t="s">
        <v>263</v>
      </c>
      <c r="AR46" s="58" t="s">
        <v>263</v>
      </c>
      <c r="AS46" s="58" t="s">
        <v>263</v>
      </c>
      <c r="AT46" s="58" t="s">
        <v>263</v>
      </c>
      <c r="AU46" s="58" t="s">
        <v>263</v>
      </c>
      <c r="AV46" s="58" t="s">
        <v>263</v>
      </c>
      <c r="AW46" s="58" t="s">
        <v>263</v>
      </c>
      <c r="AX46" s="58" t="s">
        <v>263</v>
      </c>
      <c r="AY46" s="58" t="s">
        <v>263</v>
      </c>
      <c r="AZ46" s="58" t="s">
        <v>263</v>
      </c>
      <c r="BA46" s="58" t="s">
        <v>263</v>
      </c>
      <c r="BB46" s="58" t="s">
        <v>263</v>
      </c>
      <c r="BC46" s="58" t="s">
        <v>263</v>
      </c>
      <c r="BD46" s="58" t="s">
        <v>263</v>
      </c>
      <c r="BE46" s="58" t="s">
        <v>263</v>
      </c>
      <c r="BF46" s="58" t="s">
        <v>263</v>
      </c>
      <c r="BG46" s="58" t="s">
        <v>263</v>
      </c>
      <c r="BH46" s="58" t="s">
        <v>263</v>
      </c>
      <c r="BI46" s="58" t="s">
        <v>263</v>
      </c>
      <c r="BJ46" s="58" t="s">
        <v>263</v>
      </c>
      <c r="BK46" s="58" t="s">
        <v>263</v>
      </c>
      <c r="BL46" s="58" t="s">
        <v>263</v>
      </c>
      <c r="BM46" s="58" t="s">
        <v>263</v>
      </c>
      <c r="BN46" s="58" t="s">
        <v>263</v>
      </c>
      <c r="BO46" s="58" t="s">
        <v>263</v>
      </c>
      <c r="BP46" s="58" t="s">
        <v>263</v>
      </c>
      <c r="BQ46" s="58" t="s">
        <v>263</v>
      </c>
      <c r="BR46" s="58" t="s">
        <v>263</v>
      </c>
      <c r="BS46" s="58" t="s">
        <v>263</v>
      </c>
      <c r="BT46" s="58" t="s">
        <v>263</v>
      </c>
      <c r="BU46" s="58" t="s">
        <v>263</v>
      </c>
      <c r="BV46" s="58" t="s">
        <v>263</v>
      </c>
      <c r="BW46" s="58" t="s">
        <v>263</v>
      </c>
      <c r="BX46" s="58" t="s">
        <v>263</v>
      </c>
      <c r="BY46" s="58" t="s">
        <v>263</v>
      </c>
      <c r="BZ46" s="58" t="s">
        <v>263</v>
      </c>
      <c r="CA46" s="58" t="s">
        <v>263</v>
      </c>
      <c r="CB46" s="58" t="s">
        <v>263</v>
      </c>
      <c r="CC46" s="58" t="s">
        <v>263</v>
      </c>
      <c r="CD46" s="58" t="s">
        <v>263</v>
      </c>
      <c r="CE46" s="58" t="s">
        <v>263</v>
      </c>
      <c r="CF46" s="58" t="s">
        <v>263</v>
      </c>
      <c r="CG46" s="58" t="s">
        <v>263</v>
      </c>
      <c r="CH46" s="58" t="s">
        <v>263</v>
      </c>
      <c r="CI46" s="58" t="s">
        <v>263</v>
      </c>
      <c r="CJ46" s="58" t="s">
        <v>263</v>
      </c>
      <c r="CK46" s="58" t="s">
        <v>263</v>
      </c>
      <c r="CL46" s="58" t="s">
        <v>263</v>
      </c>
      <c r="CM46" s="58" t="s">
        <v>263</v>
      </c>
      <c r="CN46" s="58" t="s">
        <v>263</v>
      </c>
      <c r="CO46" s="58" t="s">
        <v>263</v>
      </c>
      <c r="CP46" s="58" t="s">
        <v>263</v>
      </c>
      <c r="CQ46" s="58" t="s">
        <v>263</v>
      </c>
      <c r="CR46" s="58" t="s">
        <v>263</v>
      </c>
      <c r="CS46" s="58" t="s">
        <v>263</v>
      </c>
      <c r="CT46" s="58" t="s">
        <v>263</v>
      </c>
      <c r="CU46" s="58" t="s">
        <v>263</v>
      </c>
      <c r="CV46" s="58"/>
      <c r="CW46" s="58"/>
      <c r="CX46" s="58"/>
      <c r="CY46" s="58"/>
      <c r="CZ46" s="58"/>
      <c r="DA46" s="58"/>
      <c r="DB46" s="58"/>
      <c r="DC46" s="58"/>
      <c r="DD46" s="58"/>
      <c r="DE46" s="58"/>
      <c r="DF46" s="58"/>
      <c r="DG46" s="58"/>
      <c r="DH46" s="58"/>
      <c r="DI46" s="58"/>
      <c r="DJ46" s="58"/>
      <c r="DK46" s="58"/>
      <c r="DL46" s="58"/>
      <c r="DM46" s="58"/>
      <c r="DN46" s="58"/>
      <c r="DO46" s="58"/>
      <c r="DP46" s="58"/>
      <c r="DQ46" s="58"/>
      <c r="DR46" s="58"/>
      <c r="DS46" s="58"/>
      <c r="DT46" s="58"/>
      <c r="DU46" s="58"/>
      <c r="DV46" s="58"/>
      <c r="DW46" s="58"/>
      <c r="DX46" s="58"/>
      <c r="DY46" s="58"/>
      <c r="DZ46" s="58"/>
      <c r="EA46" s="58"/>
      <c r="EB46" s="58"/>
      <c r="EC46" s="58"/>
      <c r="ED46" s="58"/>
      <c r="EE46" s="58"/>
      <c r="EF46" s="58"/>
      <c r="EG46" s="58"/>
      <c r="EH46" s="58"/>
      <c r="EI46" s="58"/>
      <c r="EJ46" s="58"/>
      <c r="EK46" s="58"/>
      <c r="EL46" s="58"/>
      <c r="EM46" s="58"/>
      <c r="EN46" s="58"/>
      <c r="EO46" s="58"/>
      <c r="EP46" s="58"/>
      <c r="EQ46" s="58"/>
      <c r="ER46" s="58"/>
      <c r="ES46" s="58"/>
      <c r="ET46" s="58"/>
      <c r="EU46" s="58"/>
      <c r="EV46" s="58"/>
      <c r="EW46" s="58"/>
      <c r="EX46" s="58"/>
      <c r="EY46" s="58"/>
      <c r="EZ46" s="58"/>
      <c r="FA46" s="58"/>
      <c r="FB46" s="58"/>
      <c r="FC46" s="58"/>
      <c r="FD46" s="58"/>
      <c r="FE46" s="58"/>
      <c r="FF46" s="58"/>
      <c r="FG46" s="58"/>
      <c r="FH46" s="58"/>
      <c r="FI46" s="58"/>
      <c r="FJ46" s="58"/>
      <c r="FK46" s="58"/>
      <c r="FL46" s="58"/>
      <c r="FM46" s="58"/>
      <c r="FN46" s="58"/>
      <c r="FO46" s="58"/>
      <c r="FP46" s="58"/>
      <c r="FQ46" s="58"/>
      <c r="FR46" s="58"/>
      <c r="FS46" s="58"/>
      <c r="FT46" s="58"/>
      <c r="FU46" s="58"/>
      <c r="FV46" s="58"/>
      <c r="FW46" s="58"/>
      <c r="FX46" s="58"/>
      <c r="FY46" s="58"/>
      <c r="FZ46" s="58"/>
      <c r="GA46" s="58"/>
      <c r="GB46" s="58"/>
      <c r="GC46" s="58"/>
      <c r="GD46" s="58"/>
      <c r="GE46" s="58"/>
      <c r="GF46" s="58"/>
      <c r="GG46" s="58"/>
      <c r="GH46" s="58"/>
      <c r="GI46" s="58"/>
      <c r="GJ46" s="58"/>
      <c r="GK46" s="58"/>
      <c r="GL46" s="58"/>
      <c r="GM46" s="58"/>
      <c r="GN46" s="58"/>
      <c r="GO46" s="58"/>
      <c r="GP46" s="58"/>
      <c r="GQ46" s="58"/>
      <c r="GR46" s="58"/>
      <c r="GS46" s="58"/>
      <c r="GT46" s="58"/>
      <c r="GU46" s="58"/>
      <c r="GV46" s="58"/>
      <c r="GW46" s="58"/>
      <c r="GX46" s="58"/>
      <c r="GY46" s="58"/>
      <c r="GZ46" s="58"/>
      <c r="HA46" s="58"/>
      <c r="HB46" s="58"/>
      <c r="HC46" s="58"/>
      <c r="HD46" s="58"/>
      <c r="HE46" s="58"/>
      <c r="HF46" s="58"/>
      <c r="HG46" s="58"/>
      <c r="HH46" s="58"/>
      <c r="HI46" s="58"/>
      <c r="HJ46" s="58"/>
      <c r="HK46" s="58"/>
      <c r="HL46" s="58"/>
      <c r="HM46" s="58"/>
      <c r="HN46" s="58"/>
      <c r="HO46" s="58"/>
      <c r="HP46" s="58"/>
      <c r="HQ46" s="58"/>
      <c r="HR46" s="58"/>
      <c r="HS46" s="58"/>
      <c r="HT46" s="58"/>
      <c r="HU46" s="58"/>
      <c r="HV46" s="58"/>
      <c r="HW46" s="58"/>
      <c r="HX46" s="58"/>
      <c r="HY46" s="58"/>
      <c r="HZ46" s="58"/>
      <c r="IA46" s="58"/>
      <c r="IB46" s="58"/>
      <c r="IC46" s="58"/>
      <c r="ID46" s="58"/>
      <c r="IE46" s="58"/>
      <c r="IF46" s="58"/>
      <c r="IG46" s="58"/>
      <c r="IH46" s="58"/>
      <c r="II46" s="58"/>
      <c r="IJ46" s="58"/>
      <c r="IK46" s="58"/>
      <c r="IL46" s="58"/>
      <c r="IM46" s="58"/>
    </row>
    <row r="47" spans="1:309" s="30" customFormat="1" ht="15" hidden="1" thickBot="1" x14ac:dyDescent="0.35">
      <c r="A47" s="37" t="s">
        <v>611</v>
      </c>
      <c r="B47" s="37" t="s">
        <v>81</v>
      </c>
      <c r="C47" s="37" t="s">
        <v>10</v>
      </c>
      <c r="E47" s="74"/>
      <c r="F47" s="74"/>
      <c r="G47" s="74"/>
      <c r="H47" s="74"/>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c r="BA47" s="58"/>
      <c r="BB47" s="58"/>
      <c r="BC47" s="58"/>
      <c r="BD47" s="58"/>
      <c r="BE47" s="58"/>
      <c r="BF47" s="58"/>
      <c r="BG47" s="58"/>
      <c r="BH47" s="58"/>
      <c r="BI47" s="58"/>
      <c r="BJ47" s="58"/>
      <c r="BK47" s="58"/>
      <c r="BL47" s="58"/>
      <c r="BM47" s="58"/>
      <c r="BN47" s="58"/>
      <c r="BO47" s="58"/>
      <c r="BP47" s="58"/>
      <c r="BQ47" s="58"/>
      <c r="BR47" s="58"/>
      <c r="BS47" s="58"/>
      <c r="BT47" s="58"/>
      <c r="BU47" s="58"/>
      <c r="BV47" s="58"/>
      <c r="BW47" s="58"/>
      <c r="BX47" s="58"/>
      <c r="BY47" s="58"/>
      <c r="BZ47" s="58"/>
      <c r="CA47" s="58"/>
      <c r="CB47" s="58"/>
      <c r="CC47" s="58"/>
      <c r="CD47" s="58"/>
      <c r="CE47" s="58"/>
      <c r="CF47" s="68"/>
      <c r="CG47" s="66"/>
      <c r="CH47" s="66"/>
      <c r="CI47" s="66"/>
      <c r="CJ47" s="66"/>
      <c r="CK47" s="66"/>
      <c r="CL47" s="66"/>
      <c r="CM47" s="66"/>
      <c r="CN47" s="67"/>
      <c r="CO47" s="58"/>
      <c r="CP47" s="58"/>
      <c r="CQ47" s="58"/>
      <c r="CR47" s="58"/>
      <c r="CS47" s="58"/>
      <c r="CT47" s="58"/>
      <c r="CU47" s="58"/>
      <c r="CV47" s="58"/>
      <c r="CW47" s="58"/>
      <c r="CX47" s="58"/>
      <c r="CY47" s="58"/>
      <c r="CZ47" s="58"/>
      <c r="DA47" s="58"/>
      <c r="DB47" s="58"/>
      <c r="DC47" s="58"/>
      <c r="DD47" s="58"/>
      <c r="DE47" s="58"/>
      <c r="DF47" s="58"/>
      <c r="DG47" s="58"/>
      <c r="DH47" s="58"/>
      <c r="DI47" s="58"/>
      <c r="DJ47" s="58"/>
      <c r="DK47" s="58"/>
      <c r="DL47" s="58"/>
      <c r="DM47" s="58"/>
      <c r="DN47" s="58"/>
      <c r="DO47" s="58"/>
      <c r="DP47" s="58"/>
      <c r="DQ47" s="58"/>
      <c r="DR47" s="58"/>
      <c r="DS47" s="58"/>
      <c r="DT47" s="58"/>
      <c r="DU47" s="58"/>
      <c r="DV47" s="58"/>
      <c r="DW47" s="58"/>
      <c r="DX47" s="58"/>
      <c r="DY47" s="58"/>
      <c r="DZ47" s="58"/>
      <c r="EA47" s="58"/>
      <c r="EB47" s="58"/>
      <c r="EC47" s="58"/>
      <c r="ED47" s="58"/>
      <c r="EE47" s="58"/>
      <c r="EF47" s="58"/>
      <c r="EG47" s="58"/>
      <c r="EH47" s="58"/>
      <c r="EI47" s="58"/>
      <c r="EJ47" s="58"/>
      <c r="EK47" s="58"/>
      <c r="EL47" s="58"/>
      <c r="EM47" s="58"/>
      <c r="EN47" s="58"/>
      <c r="EO47" s="58"/>
      <c r="EP47" s="58"/>
      <c r="EQ47" s="58"/>
      <c r="ER47" s="58"/>
      <c r="ES47" s="58"/>
      <c r="ET47" s="58"/>
      <c r="EU47" s="58"/>
      <c r="EV47" s="58"/>
      <c r="EW47" s="58"/>
      <c r="EX47" s="58"/>
      <c r="EY47" s="58"/>
      <c r="EZ47" s="58"/>
      <c r="FA47" s="58"/>
      <c r="FB47" s="58"/>
      <c r="FC47" s="58"/>
      <c r="FD47" s="58"/>
      <c r="FE47" s="58"/>
      <c r="FF47" s="58"/>
      <c r="FG47" s="58"/>
      <c r="FH47" s="58"/>
      <c r="FI47" s="58"/>
      <c r="FJ47" s="58"/>
      <c r="FK47" s="58"/>
      <c r="FL47" s="58"/>
      <c r="FM47" s="58"/>
      <c r="FN47" s="58"/>
      <c r="FO47" s="58"/>
      <c r="FP47" s="58"/>
      <c r="FQ47" s="58"/>
      <c r="FR47" s="58"/>
      <c r="FS47" s="58"/>
      <c r="FT47" s="58"/>
      <c r="FU47" s="58"/>
      <c r="FV47" s="58"/>
      <c r="FW47" s="58"/>
      <c r="FX47" s="58"/>
      <c r="FY47" s="58"/>
      <c r="FZ47" s="58"/>
      <c r="GA47" s="58"/>
      <c r="GB47" s="58"/>
      <c r="GC47" s="58"/>
      <c r="GD47" s="58"/>
      <c r="GE47" s="58"/>
      <c r="GF47" s="58"/>
      <c r="GG47" s="58"/>
      <c r="GH47" s="58"/>
      <c r="GI47" s="58"/>
      <c r="GJ47" s="58"/>
      <c r="GK47" s="58"/>
      <c r="GL47" s="58"/>
      <c r="GM47" s="58"/>
      <c r="GN47" s="58"/>
      <c r="GO47" s="58"/>
      <c r="GP47" s="58"/>
      <c r="GQ47" s="58"/>
      <c r="GR47" s="58"/>
      <c r="GS47" s="58"/>
      <c r="GT47" s="58"/>
      <c r="GU47" s="58"/>
      <c r="GV47" s="58"/>
      <c r="GW47" s="58"/>
      <c r="GX47" s="58"/>
      <c r="GY47" s="58"/>
      <c r="GZ47" s="58"/>
      <c r="HA47" s="58"/>
      <c r="HB47" s="58"/>
      <c r="HC47" s="58"/>
      <c r="HD47" s="58"/>
      <c r="HE47" s="58"/>
      <c r="HF47" s="58"/>
      <c r="HG47" s="58"/>
      <c r="HH47" s="58"/>
      <c r="HI47" s="58"/>
      <c r="HJ47" s="58"/>
      <c r="HK47" s="58"/>
      <c r="HL47" s="58"/>
      <c r="HM47" s="58"/>
      <c r="HN47" s="58"/>
      <c r="HO47" s="58"/>
      <c r="HP47" s="58"/>
      <c r="HQ47" s="58"/>
      <c r="HR47" s="58"/>
      <c r="HS47" s="58"/>
      <c r="HT47" s="58"/>
      <c r="HU47" s="58"/>
      <c r="HV47" s="58"/>
      <c r="HW47" s="58"/>
      <c r="HX47" s="58"/>
      <c r="HY47" s="58"/>
      <c r="HZ47" s="58"/>
      <c r="IA47" s="58"/>
      <c r="IB47" s="58"/>
      <c r="IC47" s="58"/>
      <c r="ID47" s="58"/>
      <c r="IE47" s="58"/>
      <c r="IF47" s="58"/>
      <c r="IG47" s="58"/>
      <c r="IH47" s="58"/>
      <c r="II47" s="58"/>
      <c r="IJ47" s="58"/>
      <c r="IK47" s="58"/>
      <c r="IL47" s="58"/>
      <c r="IM47" s="58"/>
    </row>
    <row r="48" spans="1:309" s="30" customFormat="1" ht="15" hidden="1" thickBot="1" x14ac:dyDescent="0.35">
      <c r="A48" s="19" t="s">
        <v>611</v>
      </c>
      <c r="B48" s="19" t="s">
        <v>55</v>
      </c>
      <c r="C48" s="19" t="s">
        <v>22</v>
      </c>
      <c r="E48" s="59"/>
      <c r="F48" s="72"/>
      <c r="G48" s="72"/>
      <c r="H48" s="72"/>
      <c r="I48" s="58"/>
      <c r="J48" s="58"/>
      <c r="K48" s="58"/>
      <c r="L48" s="58"/>
      <c r="M48" s="68"/>
      <c r="N48" s="66"/>
      <c r="O48" s="66"/>
      <c r="P48" s="66"/>
      <c r="Q48" s="66"/>
      <c r="R48" s="67"/>
      <c r="S48" s="68"/>
      <c r="T48" s="66"/>
      <c r="U48" s="66"/>
      <c r="V48" s="66"/>
      <c r="W48" s="66"/>
      <c r="X48" s="66"/>
      <c r="Y48" s="66"/>
      <c r="Z48" s="66"/>
      <c r="AA48" s="66"/>
      <c r="AB48" s="66"/>
      <c r="AC48" s="67"/>
      <c r="AD48" s="58"/>
      <c r="AE48" s="58"/>
      <c r="AF48" s="58" t="s">
        <v>263</v>
      </c>
      <c r="AG48" s="58" t="s">
        <v>263</v>
      </c>
      <c r="AH48" s="58" t="s">
        <v>263</v>
      </c>
      <c r="AI48" s="58" t="s">
        <v>263</v>
      </c>
      <c r="AJ48" s="58" t="s">
        <v>263</v>
      </c>
      <c r="AK48" s="58" t="s">
        <v>263</v>
      </c>
      <c r="AL48" s="58" t="s">
        <v>263</v>
      </c>
      <c r="AM48" s="58" t="s">
        <v>263</v>
      </c>
      <c r="AN48" s="58" t="s">
        <v>263</v>
      </c>
      <c r="AO48" s="58" t="s">
        <v>263</v>
      </c>
      <c r="AP48" s="58" t="s">
        <v>263</v>
      </c>
      <c r="AQ48" s="58" t="s">
        <v>263</v>
      </c>
      <c r="AR48" s="58" t="s">
        <v>263</v>
      </c>
      <c r="AS48" s="58" t="s">
        <v>263</v>
      </c>
      <c r="AT48" s="58" t="s">
        <v>263</v>
      </c>
      <c r="AU48" s="58" t="s">
        <v>263</v>
      </c>
      <c r="AV48" s="58" t="s">
        <v>263</v>
      </c>
      <c r="AW48" s="58" t="s">
        <v>263</v>
      </c>
      <c r="AX48" s="58" t="s">
        <v>263</v>
      </c>
      <c r="AY48" s="58" t="s">
        <v>263</v>
      </c>
      <c r="AZ48" s="58" t="s">
        <v>263</v>
      </c>
      <c r="BA48" s="58" t="s">
        <v>263</v>
      </c>
      <c r="BB48" s="58" t="s">
        <v>263</v>
      </c>
      <c r="BC48" s="58" t="s">
        <v>263</v>
      </c>
      <c r="BD48" s="58" t="s">
        <v>263</v>
      </c>
      <c r="BE48" s="58" t="s">
        <v>263</v>
      </c>
      <c r="BF48" s="58" t="s">
        <v>263</v>
      </c>
      <c r="BG48" s="58" t="s">
        <v>263</v>
      </c>
      <c r="BH48" s="58" t="s">
        <v>263</v>
      </c>
      <c r="BI48" s="58" t="s">
        <v>263</v>
      </c>
      <c r="BJ48" s="58" t="s">
        <v>263</v>
      </c>
      <c r="BK48" s="58" t="s">
        <v>263</v>
      </c>
      <c r="BL48" s="58" t="s">
        <v>263</v>
      </c>
      <c r="BM48" s="58" t="s">
        <v>263</v>
      </c>
      <c r="BN48" s="58" t="s">
        <v>263</v>
      </c>
      <c r="BO48" s="58" t="s">
        <v>263</v>
      </c>
      <c r="BP48" s="58" t="s">
        <v>263</v>
      </c>
      <c r="BQ48" s="58" t="s">
        <v>263</v>
      </c>
      <c r="BR48" s="58" t="s">
        <v>263</v>
      </c>
      <c r="BS48" s="58" t="s">
        <v>263</v>
      </c>
      <c r="BT48" s="58" t="s">
        <v>263</v>
      </c>
      <c r="BU48" s="58" t="s">
        <v>263</v>
      </c>
      <c r="BV48" s="58" t="s">
        <v>263</v>
      </c>
      <c r="BW48" s="58" t="s">
        <v>263</v>
      </c>
      <c r="BX48" s="58" t="s">
        <v>263</v>
      </c>
      <c r="BY48" s="58" t="s">
        <v>263</v>
      </c>
      <c r="BZ48" s="58" t="s">
        <v>263</v>
      </c>
      <c r="CA48" s="58" t="s">
        <v>263</v>
      </c>
      <c r="CB48" s="58" t="s">
        <v>263</v>
      </c>
      <c r="CC48" s="58" t="s">
        <v>263</v>
      </c>
      <c r="CD48" s="58" t="s">
        <v>263</v>
      </c>
      <c r="CE48" s="58" t="s">
        <v>263</v>
      </c>
      <c r="CF48" s="58" t="s">
        <v>263</v>
      </c>
      <c r="CG48" s="58" t="s">
        <v>263</v>
      </c>
      <c r="CH48" s="58" t="s">
        <v>263</v>
      </c>
      <c r="CI48" s="58" t="s">
        <v>263</v>
      </c>
      <c r="CJ48" s="58" t="s">
        <v>263</v>
      </c>
      <c r="CK48" s="58" t="s">
        <v>263</v>
      </c>
      <c r="CL48" s="58" t="s">
        <v>263</v>
      </c>
      <c r="CM48" s="58" t="s">
        <v>263</v>
      </c>
      <c r="CN48" s="58" t="s">
        <v>263</v>
      </c>
      <c r="CO48" s="58" t="s">
        <v>263</v>
      </c>
      <c r="CP48" s="58" t="s">
        <v>263</v>
      </c>
      <c r="CQ48" s="58" t="s">
        <v>263</v>
      </c>
      <c r="CR48" s="58" t="s">
        <v>263</v>
      </c>
      <c r="CS48" s="58" t="s">
        <v>263</v>
      </c>
      <c r="CT48" s="58" t="s">
        <v>263</v>
      </c>
      <c r="CU48" s="58" t="s">
        <v>263</v>
      </c>
      <c r="CV48" s="58"/>
      <c r="CW48" s="58"/>
      <c r="CX48" s="58"/>
      <c r="CY48" s="58"/>
      <c r="CZ48" s="58"/>
      <c r="DA48" s="58"/>
      <c r="DB48" s="58"/>
      <c r="DC48" s="58"/>
      <c r="DD48" s="58"/>
      <c r="DE48" s="58"/>
      <c r="DF48" s="58"/>
      <c r="DG48" s="58"/>
      <c r="DH48" s="58"/>
      <c r="DI48" s="58"/>
      <c r="DJ48" s="58"/>
      <c r="DK48" s="58"/>
      <c r="DL48" s="58"/>
      <c r="DM48" s="58"/>
      <c r="DN48" s="58"/>
      <c r="DO48" s="58"/>
      <c r="DP48" s="58"/>
      <c r="DQ48" s="58"/>
      <c r="DR48" s="58"/>
      <c r="DS48" s="58"/>
      <c r="DT48" s="58"/>
      <c r="DU48" s="58"/>
      <c r="DV48" s="58"/>
      <c r="DW48" s="58"/>
      <c r="DX48" s="58"/>
      <c r="DY48" s="58"/>
      <c r="DZ48" s="58"/>
      <c r="EA48" s="58"/>
      <c r="EB48" s="58"/>
      <c r="EC48" s="58"/>
      <c r="ED48" s="58"/>
      <c r="EE48" s="58"/>
      <c r="EF48" s="58"/>
      <c r="EG48" s="58"/>
      <c r="EH48" s="58"/>
      <c r="EI48" s="58"/>
      <c r="EJ48" s="58"/>
      <c r="EK48" s="58"/>
      <c r="EL48" s="58"/>
      <c r="EM48" s="58"/>
      <c r="EN48" s="58"/>
      <c r="EO48" s="58"/>
      <c r="EP48" s="58"/>
      <c r="EQ48" s="58"/>
      <c r="ER48" s="58"/>
      <c r="ES48" s="58"/>
      <c r="ET48" s="58"/>
      <c r="EU48" s="58"/>
      <c r="EV48" s="58"/>
      <c r="EW48" s="58"/>
      <c r="EX48" s="58"/>
      <c r="EY48" s="58"/>
      <c r="EZ48" s="58"/>
      <c r="FA48" s="58"/>
      <c r="FB48" s="58"/>
      <c r="FC48" s="58"/>
      <c r="FD48" s="58"/>
      <c r="FE48" s="58"/>
      <c r="FF48" s="58"/>
      <c r="FG48" s="58"/>
      <c r="FH48" s="58"/>
      <c r="FI48" s="58"/>
      <c r="FJ48" s="58"/>
      <c r="FK48" s="58"/>
      <c r="FL48" s="58"/>
      <c r="FM48" s="58"/>
      <c r="FN48" s="58"/>
      <c r="FO48" s="58"/>
      <c r="FP48" s="58"/>
      <c r="FQ48" s="58"/>
      <c r="FR48" s="58"/>
      <c r="FS48" s="58"/>
      <c r="FT48" s="58"/>
      <c r="FU48" s="58"/>
      <c r="FV48" s="58"/>
      <c r="FW48" s="58"/>
      <c r="FX48" s="58"/>
      <c r="FY48" s="58"/>
      <c r="FZ48" s="58"/>
      <c r="GA48" s="58"/>
      <c r="GB48" s="58"/>
      <c r="GC48" s="58"/>
      <c r="GD48" s="58"/>
      <c r="GE48" s="58"/>
      <c r="GF48" s="58"/>
      <c r="GG48" s="58"/>
      <c r="GH48" s="58"/>
      <c r="GI48" s="58"/>
      <c r="GJ48" s="58"/>
      <c r="GK48" s="58"/>
      <c r="GL48" s="58"/>
      <c r="GM48" s="58"/>
      <c r="GN48" s="58"/>
      <c r="GO48" s="58"/>
      <c r="GP48" s="58"/>
      <c r="GQ48" s="58"/>
      <c r="GR48" s="58"/>
      <c r="GS48" s="58"/>
      <c r="GT48" s="58"/>
      <c r="GU48" s="58"/>
      <c r="GV48" s="58"/>
      <c r="GW48" s="58"/>
      <c r="GX48" s="58"/>
      <c r="GY48" s="58"/>
      <c r="GZ48" s="58"/>
      <c r="HA48" s="58"/>
      <c r="HB48" s="58"/>
      <c r="HC48" s="58"/>
      <c r="HD48" s="58"/>
      <c r="HE48" s="58"/>
      <c r="HF48" s="58"/>
      <c r="HG48" s="58"/>
      <c r="HH48" s="58"/>
      <c r="HI48" s="58"/>
      <c r="HJ48" s="58"/>
      <c r="HK48" s="58"/>
      <c r="HL48" s="58"/>
      <c r="HM48" s="58"/>
      <c r="HN48" s="58"/>
      <c r="HO48" s="58"/>
      <c r="HP48" s="58"/>
      <c r="HQ48" s="58"/>
      <c r="HR48" s="58"/>
      <c r="HS48" s="58"/>
      <c r="HT48" s="58"/>
      <c r="HU48" s="58"/>
      <c r="HV48" s="58"/>
      <c r="HW48" s="58"/>
      <c r="HX48" s="58"/>
      <c r="HY48" s="58"/>
      <c r="HZ48" s="58"/>
      <c r="IA48" s="58"/>
      <c r="IB48" s="58"/>
      <c r="IC48" s="58"/>
      <c r="ID48" s="58"/>
      <c r="IE48" s="58"/>
      <c r="IF48" s="58"/>
      <c r="IG48" s="58"/>
      <c r="IH48" s="58"/>
      <c r="II48" s="58"/>
      <c r="IJ48" s="58"/>
      <c r="IK48" s="58"/>
      <c r="IL48" s="58"/>
      <c r="IM48" s="58"/>
    </row>
    <row r="49" spans="1:309" s="30" customFormat="1" ht="15" hidden="1" thickBot="1" x14ac:dyDescent="0.35">
      <c r="A49" s="20" t="s">
        <v>611</v>
      </c>
      <c r="B49" s="20" t="s">
        <v>371</v>
      </c>
      <c r="C49" s="20" t="s">
        <v>27</v>
      </c>
      <c r="E49" s="58"/>
      <c r="F49" s="187"/>
      <c r="G49" s="187"/>
      <c r="H49" s="187"/>
      <c r="I49" s="187"/>
      <c r="J49" s="187"/>
      <c r="K49" s="187"/>
      <c r="L49" s="187"/>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c r="BA49" s="58"/>
      <c r="BB49" s="58"/>
      <c r="BC49" s="58"/>
      <c r="BD49" s="58"/>
      <c r="BE49" s="58"/>
      <c r="BF49" s="58"/>
      <c r="BG49" s="58"/>
      <c r="BH49" s="58"/>
      <c r="BI49" s="58"/>
      <c r="BJ49" s="58"/>
      <c r="BK49" s="58"/>
      <c r="BL49" s="58"/>
      <c r="BM49" s="58"/>
      <c r="BN49" s="58"/>
      <c r="BO49" s="58"/>
      <c r="BP49" s="58"/>
      <c r="BQ49" s="58"/>
      <c r="BR49" s="58"/>
      <c r="BS49" s="58"/>
      <c r="BT49" s="58"/>
      <c r="BU49" s="58"/>
      <c r="BV49" s="58"/>
      <c r="BW49" s="58"/>
      <c r="BX49" s="58"/>
      <c r="BY49" s="58"/>
      <c r="BZ49" s="58"/>
      <c r="CA49" s="58"/>
      <c r="CB49" s="58"/>
      <c r="CC49" s="58"/>
      <c r="CD49" s="58"/>
      <c r="CE49" s="58"/>
      <c r="CF49" s="58"/>
      <c r="CG49" s="58"/>
      <c r="CH49" s="58"/>
      <c r="CI49" s="58"/>
      <c r="CJ49" s="58"/>
      <c r="CK49" s="58"/>
      <c r="CL49" s="58"/>
      <c r="CM49" s="58"/>
      <c r="CN49" s="58"/>
      <c r="CO49" s="58"/>
      <c r="CP49" s="58"/>
      <c r="CQ49" s="58"/>
      <c r="CR49" s="58"/>
      <c r="CS49" s="58"/>
      <c r="CT49" s="58"/>
      <c r="CU49" s="58"/>
      <c r="CV49" s="58"/>
      <c r="CW49" s="58"/>
      <c r="CX49" s="58"/>
      <c r="CY49" s="58"/>
      <c r="CZ49" s="58"/>
      <c r="DA49" s="58"/>
      <c r="DB49" s="58"/>
      <c r="DC49" s="58"/>
      <c r="DD49" s="58"/>
      <c r="DE49" s="58"/>
      <c r="DF49" s="58"/>
      <c r="DG49" s="58"/>
      <c r="DH49" s="58"/>
      <c r="DI49" s="58"/>
      <c r="DJ49" s="58"/>
      <c r="DK49" s="58"/>
      <c r="DL49" s="58"/>
      <c r="DM49" s="58"/>
      <c r="DN49" s="58"/>
      <c r="DO49" s="58"/>
      <c r="DP49" s="58"/>
      <c r="DQ49" s="58"/>
      <c r="DR49" s="58"/>
      <c r="DS49" s="58"/>
      <c r="DT49" s="58"/>
      <c r="DU49" s="58"/>
      <c r="DV49" s="58"/>
      <c r="DW49" s="58"/>
      <c r="DX49" s="58"/>
      <c r="DY49" s="58"/>
      <c r="DZ49" s="58"/>
      <c r="EA49" s="58"/>
      <c r="EB49" s="58"/>
      <c r="EC49" s="58"/>
      <c r="ED49" s="58"/>
      <c r="EE49" s="58"/>
      <c r="EF49" s="58"/>
      <c r="EG49" s="58"/>
      <c r="EH49" s="58"/>
      <c r="EI49" s="58"/>
      <c r="EJ49" s="58"/>
      <c r="EK49" s="58"/>
      <c r="EL49" s="58"/>
      <c r="EM49" s="58"/>
      <c r="EN49" s="58"/>
      <c r="EO49" s="58"/>
      <c r="EP49" s="58"/>
      <c r="EQ49" s="58"/>
      <c r="ER49" s="58"/>
      <c r="ES49" s="58"/>
      <c r="ET49" s="58"/>
      <c r="EU49" s="58"/>
      <c r="EV49" s="58"/>
      <c r="EW49" s="58"/>
      <c r="EX49" s="58"/>
      <c r="EY49" s="58"/>
      <c r="EZ49" s="58"/>
      <c r="FA49" s="58"/>
      <c r="FB49" s="58"/>
      <c r="FC49" s="58"/>
      <c r="FD49" s="58"/>
      <c r="FE49" s="58"/>
      <c r="FF49" s="58"/>
      <c r="FG49" s="58"/>
      <c r="FH49" s="58"/>
      <c r="FI49" s="58"/>
      <c r="FJ49" s="58"/>
      <c r="FK49" s="58"/>
      <c r="FL49" s="58"/>
      <c r="FM49" s="58"/>
      <c r="FN49" s="58"/>
      <c r="FO49" s="58"/>
      <c r="FP49" s="58"/>
      <c r="FQ49" s="58"/>
      <c r="FR49" s="58"/>
      <c r="FS49" s="58"/>
      <c r="FT49" s="58"/>
      <c r="FU49" s="58"/>
      <c r="FV49" s="58"/>
      <c r="FW49" s="58"/>
      <c r="FX49" s="58"/>
      <c r="FY49" s="58"/>
      <c r="FZ49" s="58"/>
      <c r="GA49" s="58"/>
      <c r="GB49" s="58"/>
      <c r="GC49" s="58"/>
      <c r="GD49" s="58"/>
      <c r="GE49" s="58"/>
      <c r="GF49" s="58"/>
      <c r="GG49" s="58"/>
      <c r="GH49" s="58"/>
      <c r="GI49" s="58"/>
      <c r="GJ49" s="58"/>
      <c r="GK49" s="58"/>
      <c r="GL49" s="58"/>
      <c r="GM49" s="58"/>
      <c r="GN49" s="58"/>
      <c r="GO49" s="58"/>
      <c r="GP49" s="58"/>
      <c r="GQ49" s="58"/>
      <c r="GR49" s="58"/>
      <c r="GS49" s="58"/>
      <c r="GT49" s="58"/>
      <c r="GU49" s="58"/>
      <c r="GV49" s="58"/>
      <c r="GW49" s="58"/>
      <c r="GX49" s="58"/>
      <c r="GY49" s="58"/>
      <c r="GZ49" s="58"/>
      <c r="HA49" s="58"/>
      <c r="HB49" s="58"/>
      <c r="HC49" s="58"/>
      <c r="HD49" s="58"/>
      <c r="HE49" s="58"/>
      <c r="HF49" s="58"/>
      <c r="HG49" s="58"/>
      <c r="HH49" s="58"/>
      <c r="HI49" s="58"/>
      <c r="HJ49" s="58"/>
      <c r="HK49" s="58"/>
      <c r="HL49" s="58"/>
      <c r="HM49" s="58"/>
      <c r="HN49" s="58"/>
      <c r="HO49" s="58"/>
      <c r="HP49" s="58"/>
      <c r="HQ49" s="58"/>
      <c r="HR49" s="58"/>
      <c r="HS49" s="58"/>
      <c r="HT49" s="58"/>
      <c r="HU49" s="58"/>
      <c r="HV49" s="58"/>
      <c r="HW49" s="58"/>
      <c r="HX49" s="58"/>
      <c r="HY49" s="58"/>
      <c r="HZ49" s="58"/>
      <c r="IA49" s="58"/>
      <c r="IB49" s="58"/>
      <c r="IC49" s="58"/>
      <c r="ID49" s="58"/>
      <c r="IE49" s="58"/>
      <c r="IF49" s="58"/>
      <c r="IG49" s="58"/>
      <c r="IH49" s="58"/>
      <c r="II49" s="58"/>
      <c r="IJ49" s="58"/>
      <c r="IK49" s="58"/>
      <c r="IL49" s="58"/>
      <c r="IM49" s="58"/>
    </row>
    <row r="50" spans="1:309" s="30" customFormat="1" ht="15" hidden="1" thickBot="1" x14ac:dyDescent="0.35">
      <c r="A50" s="78" t="s">
        <v>611</v>
      </c>
      <c r="B50" s="78" t="s">
        <v>57</v>
      </c>
      <c r="C50" s="78" t="s">
        <v>25</v>
      </c>
      <c r="E50" s="58"/>
      <c r="F50" s="58"/>
      <c r="G50" s="58"/>
      <c r="H50" s="58"/>
      <c r="I50" s="58"/>
      <c r="J50" s="58"/>
      <c r="K50" s="58"/>
      <c r="L50" s="79"/>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c r="BA50" s="58"/>
      <c r="BB50" s="58"/>
      <c r="BC50" s="58"/>
      <c r="BD50" s="58"/>
      <c r="BE50" s="58"/>
      <c r="BF50" s="58"/>
      <c r="BG50" s="58"/>
      <c r="BH50" s="58"/>
      <c r="BI50" s="58"/>
      <c r="BJ50" s="58"/>
      <c r="BK50" s="58"/>
      <c r="BL50" s="68"/>
      <c r="BM50" s="66"/>
      <c r="BN50" s="66"/>
      <c r="BO50" s="66"/>
      <c r="BP50" s="66"/>
      <c r="BQ50" s="66"/>
      <c r="BR50" s="66"/>
      <c r="BS50" s="66"/>
      <c r="BT50" s="66"/>
      <c r="BU50" s="66"/>
      <c r="BV50" s="67"/>
      <c r="BW50" s="58"/>
      <c r="BX50" s="58"/>
      <c r="BY50" s="58"/>
      <c r="BZ50" s="58"/>
      <c r="CA50" s="58"/>
      <c r="CB50" s="58"/>
      <c r="CC50" s="58"/>
      <c r="CD50" s="58"/>
      <c r="CE50" s="58"/>
      <c r="CF50" s="58"/>
      <c r="CG50" s="58"/>
      <c r="CH50" s="58"/>
      <c r="CI50" s="58"/>
      <c r="CJ50" s="58"/>
      <c r="CK50" s="58"/>
      <c r="CL50" s="58"/>
      <c r="CM50" s="58"/>
      <c r="CN50" s="58"/>
      <c r="CO50" s="58"/>
      <c r="CP50" s="58"/>
      <c r="CQ50" s="58"/>
      <c r="CR50" s="58"/>
      <c r="CS50" s="58"/>
      <c r="CT50" s="58"/>
      <c r="CU50" s="58"/>
      <c r="CV50" s="58"/>
      <c r="CW50" s="58"/>
      <c r="CX50" s="58"/>
      <c r="CY50" s="58"/>
      <c r="CZ50" s="58"/>
      <c r="DA50" s="58"/>
      <c r="DB50" s="58"/>
      <c r="DC50" s="58"/>
      <c r="DD50" s="58"/>
      <c r="DE50" s="58"/>
      <c r="DF50" s="58"/>
      <c r="DG50" s="58"/>
      <c r="DH50" s="58"/>
      <c r="DI50" s="58"/>
      <c r="DJ50" s="58"/>
      <c r="DK50" s="58"/>
      <c r="DL50" s="58"/>
      <c r="DM50" s="58"/>
      <c r="DN50" s="58"/>
      <c r="DO50" s="58"/>
      <c r="DP50" s="58"/>
      <c r="DQ50" s="58"/>
      <c r="DR50" s="58"/>
      <c r="DS50" s="58"/>
      <c r="DT50" s="58"/>
      <c r="DU50" s="58"/>
      <c r="DV50" s="58"/>
      <c r="DW50" s="58"/>
      <c r="DX50" s="58"/>
      <c r="DY50" s="58"/>
      <c r="DZ50" s="58"/>
      <c r="EA50" s="58"/>
      <c r="EB50" s="58"/>
      <c r="EC50" s="58"/>
      <c r="ED50" s="58"/>
      <c r="EE50" s="58"/>
      <c r="EF50" s="58"/>
      <c r="EG50" s="58"/>
      <c r="EH50" s="58"/>
      <c r="EI50" s="58"/>
      <c r="EJ50" s="58"/>
      <c r="EK50" s="58"/>
      <c r="EL50" s="58"/>
      <c r="EM50" s="58"/>
      <c r="EN50" s="58"/>
      <c r="EO50" s="58"/>
      <c r="EP50" s="58"/>
      <c r="EQ50" s="58"/>
      <c r="ER50" s="58"/>
      <c r="ES50" s="58"/>
      <c r="ET50" s="58"/>
      <c r="EU50" s="58"/>
      <c r="EV50" s="58"/>
      <c r="EW50" s="58"/>
      <c r="EX50" s="58"/>
      <c r="EY50" s="58"/>
      <c r="EZ50" s="58"/>
      <c r="FA50" s="58"/>
      <c r="FB50" s="58"/>
      <c r="FC50" s="58"/>
      <c r="FD50" s="58"/>
      <c r="FE50" s="58"/>
      <c r="FF50" s="58"/>
      <c r="FG50" s="58"/>
      <c r="FH50" s="58"/>
      <c r="FI50" s="58"/>
      <c r="FJ50" s="58"/>
      <c r="FK50" s="58"/>
      <c r="FL50" s="58"/>
      <c r="FM50" s="58"/>
      <c r="FN50" s="58"/>
      <c r="FO50" s="58"/>
      <c r="FP50" s="58"/>
      <c r="FQ50" s="58"/>
      <c r="FR50" s="58"/>
      <c r="FS50" s="58"/>
      <c r="FT50" s="58"/>
      <c r="FU50" s="58"/>
      <c r="FV50" s="58"/>
      <c r="FW50" s="58"/>
      <c r="FX50" s="58"/>
      <c r="FY50" s="58"/>
      <c r="FZ50" s="58"/>
      <c r="GA50" s="58"/>
      <c r="GB50" s="58"/>
      <c r="GC50" s="58"/>
      <c r="GD50" s="58"/>
      <c r="GE50" s="58"/>
      <c r="GF50" s="58"/>
      <c r="GG50" s="58"/>
      <c r="GH50" s="58"/>
      <c r="GI50" s="58"/>
      <c r="GJ50" s="58"/>
      <c r="GK50" s="58"/>
      <c r="GL50" s="58"/>
      <c r="GM50" s="58"/>
      <c r="GN50" s="58"/>
      <c r="GO50" s="58"/>
      <c r="GP50" s="58"/>
      <c r="GQ50" s="58"/>
      <c r="GR50" s="58"/>
      <c r="GS50" s="58"/>
      <c r="GT50" s="58"/>
      <c r="GU50" s="58"/>
      <c r="GV50" s="58"/>
      <c r="GW50" s="58"/>
      <c r="GX50" s="58"/>
      <c r="GY50" s="58"/>
      <c r="GZ50" s="58"/>
      <c r="HA50" s="58"/>
      <c r="HB50" s="58"/>
      <c r="HC50" s="58"/>
      <c r="HD50" s="58"/>
      <c r="HE50" s="58"/>
      <c r="HF50" s="58"/>
      <c r="HG50" s="58"/>
      <c r="HH50" s="58"/>
      <c r="HI50" s="58"/>
      <c r="HJ50" s="58"/>
      <c r="HK50" s="58"/>
      <c r="HL50" s="58"/>
      <c r="HM50" s="58"/>
      <c r="HN50" s="58"/>
      <c r="HO50" s="58"/>
      <c r="HP50" s="58"/>
      <c r="HQ50" s="58"/>
      <c r="HR50" s="58"/>
      <c r="HS50" s="58"/>
      <c r="HT50" s="58"/>
      <c r="HU50" s="58"/>
      <c r="HV50" s="58"/>
      <c r="HW50" s="58"/>
      <c r="HX50" s="58"/>
      <c r="HY50" s="58"/>
      <c r="HZ50" s="58"/>
      <c r="IA50" s="58"/>
      <c r="IB50" s="58"/>
      <c r="IC50" s="58"/>
      <c r="ID50" s="58"/>
      <c r="IE50" s="58"/>
      <c r="IF50" s="58"/>
      <c r="IG50" s="58"/>
      <c r="IH50" s="58"/>
      <c r="II50" s="58"/>
      <c r="IJ50" s="58"/>
      <c r="IK50" s="58"/>
      <c r="IL50" s="58"/>
      <c r="IM50" s="58"/>
      <c r="KO50" s="84"/>
      <c r="KP50" s="85"/>
      <c r="KQ50" s="85"/>
      <c r="KR50" s="85"/>
      <c r="KS50" s="85"/>
      <c r="KT50" s="85"/>
      <c r="KU50" s="85"/>
      <c r="KV50" s="85"/>
      <c r="KW50" s="86"/>
    </row>
    <row r="51" spans="1:309" s="30" customFormat="1" ht="15" hidden="1" thickBot="1" x14ac:dyDescent="0.35">
      <c r="A51" s="78" t="s">
        <v>543</v>
      </c>
      <c r="B51" s="78" t="s">
        <v>57</v>
      </c>
      <c r="C51" s="78" t="s">
        <v>25</v>
      </c>
      <c r="E51" s="58"/>
      <c r="F51" s="58"/>
      <c r="G51" s="58"/>
      <c r="H51" s="58"/>
      <c r="I51" s="58"/>
      <c r="J51" s="58"/>
      <c r="K51" s="58"/>
      <c r="L51" s="79"/>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c r="BA51" s="58"/>
      <c r="BB51" s="58"/>
      <c r="BC51" s="58"/>
      <c r="BD51" s="58"/>
      <c r="BE51" s="58"/>
      <c r="BF51" s="58"/>
      <c r="BG51" s="58"/>
      <c r="BH51" s="58"/>
      <c r="BI51" s="58"/>
      <c r="BJ51" s="58"/>
      <c r="BK51" s="58"/>
      <c r="BL51" s="68"/>
      <c r="BM51" s="66"/>
      <c r="BN51" s="66"/>
      <c r="BO51" s="66"/>
      <c r="BP51" s="66"/>
      <c r="BQ51" s="66"/>
      <c r="BR51" s="66"/>
      <c r="BS51" s="66"/>
      <c r="BT51" s="66"/>
      <c r="BU51" s="66"/>
      <c r="BV51" s="67"/>
      <c r="BW51" s="58"/>
      <c r="BX51" s="58"/>
      <c r="BY51" s="58"/>
      <c r="BZ51" s="58"/>
      <c r="CA51" s="58"/>
      <c r="CB51" s="58"/>
      <c r="CC51" s="58"/>
      <c r="CD51" s="58"/>
      <c r="CE51" s="58"/>
      <c r="CF51" s="58"/>
      <c r="CG51" s="58"/>
      <c r="CH51" s="58"/>
      <c r="CI51" s="58"/>
      <c r="CJ51" s="58"/>
      <c r="CK51" s="58"/>
      <c r="CL51" s="58"/>
      <c r="CM51" s="58"/>
      <c r="CN51" s="58"/>
      <c r="CO51" s="58"/>
      <c r="CP51" s="58"/>
      <c r="CQ51" s="58"/>
      <c r="CR51" s="58"/>
      <c r="CS51" s="58"/>
      <c r="CT51" s="58"/>
      <c r="CU51" s="58"/>
      <c r="CV51" s="58"/>
      <c r="CW51" s="58"/>
      <c r="CX51" s="58"/>
      <c r="CY51" s="58"/>
      <c r="CZ51" s="58"/>
      <c r="DA51" s="58"/>
      <c r="DB51" s="58"/>
      <c r="DC51" s="58"/>
      <c r="DD51" s="58"/>
      <c r="DE51" s="58"/>
      <c r="DF51" s="58"/>
      <c r="DG51" s="58"/>
      <c r="DH51" s="58"/>
      <c r="DI51" s="58"/>
      <c r="DJ51" s="58"/>
      <c r="DK51" s="58"/>
      <c r="DL51" s="58"/>
      <c r="DM51" s="58"/>
      <c r="DN51" s="58"/>
      <c r="DO51" s="58"/>
      <c r="DP51" s="58"/>
      <c r="DQ51" s="58"/>
      <c r="DR51" s="58"/>
      <c r="DS51" s="58"/>
      <c r="DT51" s="58"/>
      <c r="DU51" s="58"/>
      <c r="DV51" s="58"/>
      <c r="DW51" s="58"/>
      <c r="DX51" s="58"/>
      <c r="DY51" s="58"/>
      <c r="DZ51" s="58"/>
      <c r="EA51" s="58"/>
      <c r="EB51" s="58"/>
      <c r="EC51" s="58"/>
      <c r="ED51" s="58"/>
      <c r="EE51" s="58"/>
      <c r="EF51" s="58"/>
      <c r="EG51" s="58"/>
      <c r="EH51" s="58"/>
      <c r="EI51" s="58"/>
      <c r="EJ51" s="58"/>
      <c r="EK51" s="58"/>
      <c r="EL51" s="58"/>
      <c r="EM51" s="58"/>
      <c r="EN51" s="58"/>
      <c r="EO51" s="58"/>
      <c r="EP51" s="58"/>
      <c r="EQ51" s="58"/>
      <c r="ER51" s="58"/>
      <c r="ES51" s="58"/>
      <c r="ET51" s="58"/>
      <c r="EU51" s="58"/>
      <c r="EV51" s="58"/>
      <c r="EW51" s="58"/>
      <c r="EX51" s="58"/>
      <c r="EY51" s="58"/>
      <c r="EZ51" s="58"/>
      <c r="FA51" s="58"/>
      <c r="FB51" s="58"/>
      <c r="FC51" s="58"/>
      <c r="FD51" s="58"/>
      <c r="FE51" s="58"/>
      <c r="FF51" s="58"/>
      <c r="FG51" s="58"/>
      <c r="FH51" s="58"/>
      <c r="FI51" s="58"/>
      <c r="FJ51" s="58"/>
      <c r="FK51" s="58"/>
      <c r="FL51" s="58"/>
      <c r="FM51" s="58"/>
      <c r="FN51" s="58"/>
      <c r="FO51" s="58"/>
      <c r="FP51" s="58"/>
      <c r="FQ51" s="58"/>
      <c r="FR51" s="58"/>
      <c r="FS51" s="58"/>
      <c r="FT51" s="58"/>
      <c r="FU51" s="58"/>
      <c r="FV51" s="58"/>
      <c r="FW51" s="58"/>
      <c r="FX51" s="58"/>
      <c r="FY51" s="58"/>
      <c r="FZ51" s="58"/>
      <c r="GA51" s="58"/>
      <c r="GB51" s="58"/>
      <c r="GC51" s="58"/>
      <c r="GD51" s="58"/>
      <c r="GE51" s="58"/>
      <c r="GF51" s="58"/>
      <c r="GG51" s="58"/>
      <c r="GH51" s="58"/>
      <c r="GI51" s="58"/>
      <c r="GJ51" s="58"/>
      <c r="GK51" s="58"/>
      <c r="GL51" s="58"/>
      <c r="GM51" s="58"/>
      <c r="GN51" s="58"/>
      <c r="GO51" s="58"/>
      <c r="GP51" s="58"/>
      <c r="GQ51" s="58"/>
      <c r="GR51" s="58"/>
      <c r="GS51" s="58"/>
      <c r="GT51" s="58"/>
      <c r="GU51" s="58"/>
      <c r="GV51" s="58"/>
      <c r="GW51" s="58"/>
      <c r="GX51" s="58"/>
      <c r="GY51" s="58"/>
      <c r="GZ51" s="58"/>
      <c r="HA51" s="58"/>
      <c r="HB51" s="58"/>
      <c r="HC51" s="58"/>
      <c r="HD51" s="58"/>
      <c r="HE51" s="58"/>
      <c r="HF51" s="58"/>
      <c r="HG51" s="58"/>
      <c r="HH51" s="58"/>
      <c r="HI51" s="58"/>
      <c r="HJ51" s="58"/>
      <c r="HK51" s="58"/>
      <c r="HL51" s="58"/>
      <c r="HM51" s="58"/>
      <c r="HN51" s="58"/>
      <c r="HO51" s="58"/>
      <c r="HP51" s="58"/>
      <c r="HQ51" s="58"/>
      <c r="HR51" s="58"/>
      <c r="HS51" s="58"/>
      <c r="HT51" s="58"/>
      <c r="HU51" s="58"/>
      <c r="HV51" s="58"/>
      <c r="HW51" s="58"/>
      <c r="HX51" s="58"/>
      <c r="HY51" s="58"/>
      <c r="HZ51" s="58"/>
      <c r="IA51" s="58"/>
      <c r="IB51" s="58"/>
      <c r="IC51" s="58"/>
      <c r="ID51" s="58"/>
      <c r="IE51" s="58"/>
      <c r="IF51" s="58"/>
      <c r="IG51" s="58"/>
      <c r="IH51" s="58"/>
      <c r="II51" s="58"/>
      <c r="IJ51" s="58"/>
      <c r="IK51" s="58"/>
      <c r="IL51" s="58"/>
      <c r="IM51" s="58"/>
      <c r="KO51" s="84"/>
      <c r="KP51" s="85"/>
      <c r="KQ51" s="85"/>
      <c r="KR51" s="85"/>
      <c r="KS51" s="85"/>
      <c r="KT51" s="85"/>
      <c r="KU51" s="85"/>
      <c r="KV51" s="85"/>
      <c r="KW51" s="86"/>
    </row>
    <row r="52" spans="1:309" s="30" customFormat="1" ht="15" hidden="1" thickBot="1" x14ac:dyDescent="0.35">
      <c r="A52" s="37" t="s">
        <v>594</v>
      </c>
      <c r="B52" s="37" t="s">
        <v>81</v>
      </c>
      <c r="C52" s="37" t="s">
        <v>10</v>
      </c>
      <c r="E52" s="74"/>
      <c r="F52" s="74"/>
      <c r="G52" s="74"/>
      <c r="H52" s="74"/>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c r="BA52" s="58"/>
      <c r="BB52" s="58"/>
      <c r="BC52" s="58"/>
      <c r="BD52" s="58"/>
      <c r="BE52" s="58"/>
      <c r="BF52" s="58"/>
      <c r="BG52" s="58"/>
      <c r="BH52" s="58"/>
      <c r="BI52" s="58"/>
      <c r="BJ52" s="58"/>
      <c r="BK52" s="58"/>
      <c r="BL52" s="58"/>
      <c r="BM52" s="58"/>
      <c r="BN52" s="58"/>
      <c r="BO52" s="58"/>
      <c r="BP52" s="58"/>
      <c r="BQ52" s="58"/>
      <c r="BR52" s="58"/>
      <c r="BS52" s="58"/>
      <c r="BT52" s="58"/>
      <c r="BU52" s="58"/>
      <c r="BV52" s="58"/>
      <c r="BW52" s="58"/>
      <c r="BX52" s="58"/>
      <c r="BY52" s="58"/>
      <c r="BZ52" s="58"/>
      <c r="CA52" s="58"/>
      <c r="CB52" s="58"/>
      <c r="CC52" s="58"/>
      <c r="CD52" s="58"/>
      <c r="CE52" s="58"/>
      <c r="CF52" s="68"/>
      <c r="CG52" s="66"/>
      <c r="CH52" s="66"/>
      <c r="CI52" s="66"/>
      <c r="CJ52" s="66"/>
      <c r="CK52" s="66"/>
      <c r="CL52" s="66"/>
      <c r="CM52" s="66"/>
      <c r="CN52" s="67"/>
      <c r="CO52" s="58"/>
      <c r="CP52" s="58"/>
      <c r="CQ52" s="58"/>
      <c r="CR52" s="58"/>
      <c r="CS52" s="58"/>
      <c r="CT52" s="58"/>
      <c r="CU52" s="58"/>
      <c r="CV52" s="58"/>
      <c r="CW52" s="58"/>
      <c r="CX52" s="58"/>
      <c r="CY52" s="58"/>
      <c r="CZ52" s="58"/>
      <c r="DA52" s="58"/>
      <c r="DB52" s="58"/>
      <c r="DC52" s="58"/>
      <c r="DD52" s="58"/>
      <c r="DE52" s="58"/>
      <c r="DF52" s="58"/>
      <c r="DG52" s="58"/>
      <c r="DH52" s="58"/>
      <c r="DI52" s="58"/>
      <c r="DJ52" s="58"/>
      <c r="DK52" s="58"/>
      <c r="DL52" s="58"/>
      <c r="DM52" s="58"/>
      <c r="DN52" s="58"/>
      <c r="DO52" s="58"/>
      <c r="DP52" s="58"/>
      <c r="DQ52" s="58"/>
      <c r="DR52" s="58"/>
      <c r="DS52" s="58"/>
      <c r="DT52" s="58"/>
      <c r="DU52" s="58"/>
      <c r="DV52" s="58"/>
      <c r="DW52" s="58"/>
      <c r="DX52" s="58"/>
      <c r="DY52" s="58"/>
      <c r="DZ52" s="58"/>
      <c r="EA52" s="58"/>
      <c r="EB52" s="58"/>
      <c r="EC52" s="58"/>
      <c r="ED52" s="58"/>
      <c r="EE52" s="58"/>
      <c r="EF52" s="58"/>
      <c r="EG52" s="58"/>
      <c r="EH52" s="58"/>
      <c r="EI52" s="58"/>
      <c r="EJ52" s="58"/>
      <c r="EK52" s="58"/>
      <c r="EL52" s="58"/>
      <c r="EM52" s="58"/>
      <c r="EN52" s="58"/>
      <c r="EO52" s="58"/>
      <c r="EP52" s="58"/>
      <c r="EQ52" s="58"/>
      <c r="ER52" s="58"/>
      <c r="ES52" s="58"/>
      <c r="ET52" s="58"/>
      <c r="EU52" s="58"/>
      <c r="EV52" s="58"/>
      <c r="EW52" s="58"/>
      <c r="EX52" s="58"/>
      <c r="EY52" s="58"/>
      <c r="EZ52" s="58"/>
      <c r="FA52" s="58"/>
      <c r="FB52" s="58"/>
      <c r="FC52" s="58"/>
      <c r="FD52" s="58"/>
      <c r="FE52" s="58"/>
      <c r="FF52" s="58"/>
      <c r="FG52" s="58"/>
      <c r="FH52" s="58"/>
      <c r="FI52" s="58"/>
      <c r="FJ52" s="58"/>
      <c r="FK52" s="58"/>
      <c r="FL52" s="58"/>
      <c r="FM52" s="58"/>
      <c r="FN52" s="58"/>
      <c r="FO52" s="58"/>
      <c r="FP52" s="58"/>
      <c r="FQ52" s="58"/>
      <c r="FR52" s="58"/>
      <c r="FS52" s="58"/>
      <c r="FT52" s="58"/>
      <c r="FU52" s="58"/>
      <c r="FV52" s="58"/>
      <c r="FW52" s="58"/>
      <c r="FX52" s="58"/>
      <c r="FY52" s="58"/>
      <c r="FZ52" s="58"/>
      <c r="GA52" s="58"/>
      <c r="GB52" s="58"/>
      <c r="GC52" s="58"/>
      <c r="GD52" s="58"/>
      <c r="GE52" s="58"/>
      <c r="GF52" s="58"/>
      <c r="GG52" s="58"/>
      <c r="GH52" s="58"/>
      <c r="GI52" s="58"/>
      <c r="GJ52" s="58"/>
      <c r="GK52" s="58"/>
      <c r="GL52" s="58"/>
      <c r="GM52" s="58"/>
      <c r="GN52" s="58"/>
      <c r="GO52" s="58"/>
      <c r="GP52" s="58"/>
      <c r="GQ52" s="58"/>
      <c r="GR52" s="58"/>
      <c r="GS52" s="58"/>
      <c r="GT52" s="58"/>
      <c r="GU52" s="58"/>
      <c r="GV52" s="58"/>
      <c r="GW52" s="58"/>
      <c r="GX52" s="58"/>
      <c r="GY52" s="58"/>
      <c r="GZ52" s="58"/>
      <c r="HA52" s="58"/>
      <c r="HB52" s="58"/>
      <c r="HC52" s="58"/>
      <c r="HD52" s="58"/>
      <c r="HE52" s="58"/>
      <c r="HF52" s="58"/>
      <c r="HG52" s="58"/>
      <c r="HH52" s="58"/>
      <c r="HI52" s="58"/>
      <c r="HJ52" s="58"/>
      <c r="HK52" s="58"/>
      <c r="HL52" s="58"/>
      <c r="HM52" s="58"/>
      <c r="HN52" s="58"/>
      <c r="HO52" s="58"/>
      <c r="HP52" s="58"/>
      <c r="HQ52" s="58"/>
      <c r="HR52" s="58"/>
      <c r="HS52" s="58"/>
      <c r="HT52" s="58"/>
      <c r="HU52" s="58"/>
      <c r="HV52" s="58"/>
      <c r="HW52" s="58"/>
      <c r="HX52" s="58"/>
      <c r="HY52" s="58"/>
      <c r="HZ52" s="58"/>
      <c r="IA52" s="58"/>
      <c r="IB52" s="58"/>
      <c r="IC52" s="58"/>
      <c r="ID52" s="58"/>
      <c r="IE52" s="58"/>
      <c r="IF52" s="58"/>
      <c r="IG52" s="58"/>
      <c r="IH52" s="58"/>
      <c r="II52" s="58"/>
      <c r="IJ52" s="58"/>
      <c r="IK52" s="58"/>
      <c r="IL52" s="58"/>
      <c r="IM52" s="58"/>
    </row>
    <row r="53" spans="1:309" s="30" customFormat="1" ht="15" hidden="1" thickBot="1" x14ac:dyDescent="0.35">
      <c r="A53" s="19" t="s">
        <v>594</v>
      </c>
      <c r="B53" s="19" t="s">
        <v>55</v>
      </c>
      <c r="C53" s="19" t="s">
        <v>22</v>
      </c>
      <c r="E53" s="59"/>
      <c r="F53" s="72"/>
      <c r="G53" s="72"/>
      <c r="H53" s="72"/>
      <c r="I53" s="58"/>
      <c r="J53" s="58"/>
      <c r="K53" s="58"/>
      <c r="L53" s="58"/>
      <c r="M53" s="68"/>
      <c r="N53" s="66"/>
      <c r="O53" s="66"/>
      <c r="P53" s="66"/>
      <c r="Q53" s="66"/>
      <c r="R53" s="67"/>
      <c r="S53" s="68"/>
      <c r="T53" s="66"/>
      <c r="U53" s="66"/>
      <c r="V53" s="66"/>
      <c r="W53" s="66"/>
      <c r="X53" s="66"/>
      <c r="Y53" s="66"/>
      <c r="Z53" s="66"/>
      <c r="AA53" s="66"/>
      <c r="AB53" s="66"/>
      <c r="AC53" s="67"/>
      <c r="AD53" s="58"/>
      <c r="AE53" s="58"/>
      <c r="AF53" s="58" t="s">
        <v>263</v>
      </c>
      <c r="AG53" s="58" t="s">
        <v>263</v>
      </c>
      <c r="AH53" s="58" t="s">
        <v>263</v>
      </c>
      <c r="AI53" s="58" t="s">
        <v>263</v>
      </c>
      <c r="AJ53" s="58" t="s">
        <v>263</v>
      </c>
      <c r="AK53" s="58" t="s">
        <v>263</v>
      </c>
      <c r="AL53" s="58" t="s">
        <v>263</v>
      </c>
      <c r="AM53" s="58" t="s">
        <v>263</v>
      </c>
      <c r="AN53" s="58" t="s">
        <v>263</v>
      </c>
      <c r="AO53" s="58" t="s">
        <v>263</v>
      </c>
      <c r="AP53" s="58" t="s">
        <v>263</v>
      </c>
      <c r="AQ53" s="58" t="s">
        <v>263</v>
      </c>
      <c r="AR53" s="58" t="s">
        <v>263</v>
      </c>
      <c r="AS53" s="58" t="s">
        <v>263</v>
      </c>
      <c r="AT53" s="58" t="s">
        <v>263</v>
      </c>
      <c r="AU53" s="58" t="s">
        <v>263</v>
      </c>
      <c r="AV53" s="58" t="s">
        <v>263</v>
      </c>
      <c r="AW53" s="58" t="s">
        <v>263</v>
      </c>
      <c r="AX53" s="58" t="s">
        <v>263</v>
      </c>
      <c r="AY53" s="58" t="s">
        <v>263</v>
      </c>
      <c r="AZ53" s="58" t="s">
        <v>263</v>
      </c>
      <c r="BA53" s="58" t="s">
        <v>263</v>
      </c>
      <c r="BB53" s="58" t="s">
        <v>263</v>
      </c>
      <c r="BC53" s="58" t="s">
        <v>263</v>
      </c>
      <c r="BD53" s="58" t="s">
        <v>263</v>
      </c>
      <c r="BE53" s="58" t="s">
        <v>263</v>
      </c>
      <c r="BF53" s="58" t="s">
        <v>263</v>
      </c>
      <c r="BG53" s="58" t="s">
        <v>263</v>
      </c>
      <c r="BH53" s="58" t="s">
        <v>263</v>
      </c>
      <c r="BI53" s="58" t="s">
        <v>263</v>
      </c>
      <c r="BJ53" s="58" t="s">
        <v>263</v>
      </c>
      <c r="BK53" s="58" t="s">
        <v>263</v>
      </c>
      <c r="BL53" s="58" t="s">
        <v>263</v>
      </c>
      <c r="BM53" s="58" t="s">
        <v>263</v>
      </c>
      <c r="BN53" s="58" t="s">
        <v>263</v>
      </c>
      <c r="BO53" s="58" t="s">
        <v>263</v>
      </c>
      <c r="BP53" s="58" t="s">
        <v>263</v>
      </c>
      <c r="BQ53" s="58" t="s">
        <v>263</v>
      </c>
      <c r="BR53" s="58" t="s">
        <v>263</v>
      </c>
      <c r="BS53" s="58" t="s">
        <v>263</v>
      </c>
      <c r="BT53" s="58" t="s">
        <v>263</v>
      </c>
      <c r="BU53" s="58" t="s">
        <v>263</v>
      </c>
      <c r="BV53" s="58" t="s">
        <v>263</v>
      </c>
      <c r="BW53" s="58" t="s">
        <v>263</v>
      </c>
      <c r="BX53" s="58" t="s">
        <v>263</v>
      </c>
      <c r="BY53" s="58" t="s">
        <v>263</v>
      </c>
      <c r="BZ53" s="58" t="s">
        <v>263</v>
      </c>
      <c r="CA53" s="58" t="s">
        <v>263</v>
      </c>
      <c r="CB53" s="58" t="s">
        <v>263</v>
      </c>
      <c r="CC53" s="58" t="s">
        <v>263</v>
      </c>
      <c r="CD53" s="58" t="s">
        <v>263</v>
      </c>
      <c r="CE53" s="58" t="s">
        <v>263</v>
      </c>
      <c r="CF53" s="58" t="s">
        <v>263</v>
      </c>
      <c r="CG53" s="58" t="s">
        <v>263</v>
      </c>
      <c r="CH53" s="58" t="s">
        <v>263</v>
      </c>
      <c r="CI53" s="58" t="s">
        <v>263</v>
      </c>
      <c r="CJ53" s="58" t="s">
        <v>263</v>
      </c>
      <c r="CK53" s="58" t="s">
        <v>263</v>
      </c>
      <c r="CL53" s="58" t="s">
        <v>263</v>
      </c>
      <c r="CM53" s="58" t="s">
        <v>263</v>
      </c>
      <c r="CN53" s="58" t="s">
        <v>263</v>
      </c>
      <c r="CO53" s="58" t="s">
        <v>263</v>
      </c>
      <c r="CP53" s="58" t="s">
        <v>263</v>
      </c>
      <c r="CQ53" s="58" t="s">
        <v>263</v>
      </c>
      <c r="CR53" s="58" t="s">
        <v>263</v>
      </c>
      <c r="CS53" s="58" t="s">
        <v>263</v>
      </c>
      <c r="CT53" s="58" t="s">
        <v>263</v>
      </c>
      <c r="CU53" s="58" t="s">
        <v>263</v>
      </c>
      <c r="CV53" s="58"/>
      <c r="CW53" s="58"/>
      <c r="CX53" s="58"/>
      <c r="CY53" s="58"/>
      <c r="CZ53" s="58"/>
      <c r="DA53" s="58"/>
      <c r="DB53" s="58"/>
      <c r="DC53" s="58"/>
      <c r="DD53" s="58"/>
      <c r="DE53" s="58"/>
      <c r="DF53" s="58"/>
      <c r="DG53" s="58"/>
      <c r="DH53" s="58"/>
      <c r="DI53" s="58"/>
      <c r="DJ53" s="58"/>
      <c r="DK53" s="58"/>
      <c r="DL53" s="58"/>
      <c r="DM53" s="58"/>
      <c r="DN53" s="58"/>
      <c r="DO53" s="58"/>
      <c r="DP53" s="58"/>
      <c r="DQ53" s="58"/>
      <c r="DR53" s="58"/>
      <c r="DS53" s="58"/>
      <c r="DT53" s="58"/>
      <c r="DU53" s="58"/>
      <c r="DV53" s="58"/>
      <c r="DW53" s="58"/>
      <c r="DX53" s="58"/>
      <c r="DY53" s="58"/>
      <c r="DZ53" s="58"/>
      <c r="EA53" s="58"/>
      <c r="EB53" s="58"/>
      <c r="EC53" s="58"/>
      <c r="ED53" s="58"/>
      <c r="EE53" s="58"/>
      <c r="EF53" s="58"/>
      <c r="EG53" s="58"/>
      <c r="EH53" s="58"/>
      <c r="EI53" s="58"/>
      <c r="EJ53" s="58"/>
      <c r="EK53" s="58"/>
      <c r="EL53" s="58"/>
      <c r="EM53" s="58"/>
      <c r="EN53" s="58"/>
      <c r="EO53" s="58"/>
      <c r="EP53" s="58"/>
      <c r="EQ53" s="58"/>
      <c r="ER53" s="58"/>
      <c r="ES53" s="58"/>
      <c r="ET53" s="58"/>
      <c r="EU53" s="58"/>
      <c r="EV53" s="58"/>
      <c r="EW53" s="58"/>
      <c r="EX53" s="58"/>
      <c r="EY53" s="58"/>
      <c r="EZ53" s="58"/>
      <c r="FA53" s="58"/>
      <c r="FB53" s="58"/>
      <c r="FC53" s="58"/>
      <c r="FD53" s="58"/>
      <c r="FE53" s="58"/>
      <c r="FF53" s="58"/>
      <c r="FG53" s="58"/>
      <c r="FH53" s="58"/>
      <c r="FI53" s="58"/>
      <c r="FJ53" s="58"/>
      <c r="FK53" s="58"/>
      <c r="FL53" s="58"/>
      <c r="FM53" s="58"/>
      <c r="FN53" s="58"/>
      <c r="FO53" s="58"/>
      <c r="FP53" s="58"/>
      <c r="FQ53" s="58"/>
      <c r="FR53" s="58"/>
      <c r="FS53" s="58"/>
      <c r="FT53" s="58"/>
      <c r="FU53" s="58"/>
      <c r="FV53" s="58"/>
      <c r="FW53" s="58"/>
      <c r="FX53" s="58"/>
      <c r="FY53" s="58"/>
      <c r="FZ53" s="58"/>
      <c r="GA53" s="58"/>
      <c r="GB53" s="58"/>
      <c r="GC53" s="58"/>
      <c r="GD53" s="58"/>
      <c r="GE53" s="58"/>
      <c r="GF53" s="58"/>
      <c r="GG53" s="58"/>
      <c r="GH53" s="58"/>
      <c r="GI53" s="58"/>
      <c r="GJ53" s="58"/>
      <c r="GK53" s="58"/>
      <c r="GL53" s="58"/>
      <c r="GM53" s="58"/>
      <c r="GN53" s="58"/>
      <c r="GO53" s="58"/>
      <c r="GP53" s="58"/>
      <c r="GQ53" s="58"/>
      <c r="GR53" s="58"/>
      <c r="GS53" s="58"/>
      <c r="GT53" s="58"/>
      <c r="GU53" s="58"/>
      <c r="GV53" s="58"/>
      <c r="GW53" s="58"/>
      <c r="GX53" s="58"/>
      <c r="GY53" s="58"/>
      <c r="GZ53" s="58"/>
      <c r="HA53" s="58"/>
      <c r="HB53" s="58"/>
      <c r="HC53" s="58"/>
      <c r="HD53" s="58"/>
      <c r="HE53" s="58"/>
      <c r="HF53" s="58"/>
      <c r="HG53" s="58"/>
      <c r="HH53" s="58"/>
      <c r="HI53" s="58"/>
      <c r="HJ53" s="58"/>
      <c r="HK53" s="58"/>
      <c r="HL53" s="58"/>
      <c r="HM53" s="58"/>
      <c r="HN53" s="58"/>
      <c r="HO53" s="58"/>
      <c r="HP53" s="58"/>
      <c r="HQ53" s="58"/>
      <c r="HR53" s="58"/>
      <c r="HS53" s="58"/>
      <c r="HT53" s="58"/>
      <c r="HU53" s="58"/>
      <c r="HV53" s="58"/>
      <c r="HW53" s="58"/>
      <c r="HX53" s="58"/>
      <c r="HY53" s="58"/>
      <c r="HZ53" s="58"/>
      <c r="IA53" s="58"/>
      <c r="IB53" s="58"/>
      <c r="IC53" s="58"/>
      <c r="ID53" s="58"/>
      <c r="IE53" s="58"/>
      <c r="IF53" s="58"/>
      <c r="IG53" s="58"/>
      <c r="IH53" s="58"/>
      <c r="II53" s="58"/>
      <c r="IJ53" s="58"/>
      <c r="IK53" s="58"/>
      <c r="IL53" s="58"/>
      <c r="IM53" s="58"/>
    </row>
    <row r="54" spans="1:309" s="30" customFormat="1" ht="15" hidden="1" thickBot="1" x14ac:dyDescent="0.35">
      <c r="A54" s="20" t="s">
        <v>594</v>
      </c>
      <c r="B54" s="20" t="s">
        <v>371</v>
      </c>
      <c r="C54" s="20" t="s">
        <v>27</v>
      </c>
      <c r="E54" s="58"/>
      <c r="F54" s="187"/>
      <c r="G54" s="187"/>
      <c r="H54" s="187"/>
      <c r="I54" s="187"/>
      <c r="J54" s="187"/>
      <c r="K54" s="187"/>
      <c r="L54" s="187"/>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c r="BA54" s="58"/>
      <c r="BB54" s="58"/>
      <c r="BC54" s="58"/>
      <c r="BD54" s="58"/>
      <c r="BE54" s="58"/>
      <c r="BF54" s="58"/>
      <c r="BG54" s="58"/>
      <c r="BH54" s="58"/>
      <c r="BI54" s="58"/>
      <c r="BJ54" s="58"/>
      <c r="BK54" s="58"/>
      <c r="BL54" s="58"/>
      <c r="BM54" s="58"/>
      <c r="BN54" s="58"/>
      <c r="BO54" s="58"/>
      <c r="BP54" s="58"/>
      <c r="BQ54" s="58"/>
      <c r="BR54" s="58"/>
      <c r="BS54" s="58"/>
      <c r="BT54" s="58"/>
      <c r="BU54" s="58"/>
      <c r="BV54" s="58"/>
      <c r="BW54" s="58"/>
      <c r="BX54" s="58"/>
      <c r="BY54" s="58"/>
      <c r="BZ54" s="58"/>
      <c r="CA54" s="58"/>
      <c r="CB54" s="58"/>
      <c r="CC54" s="58"/>
      <c r="CD54" s="58"/>
      <c r="CE54" s="58"/>
      <c r="CF54" s="58"/>
      <c r="CG54" s="58"/>
      <c r="CH54" s="58"/>
      <c r="CI54" s="58"/>
      <c r="CJ54" s="58"/>
      <c r="CK54" s="58"/>
      <c r="CL54" s="58"/>
      <c r="CM54" s="58"/>
      <c r="CN54" s="58"/>
      <c r="CO54" s="58"/>
      <c r="CP54" s="58"/>
      <c r="CQ54" s="58"/>
      <c r="CR54" s="58"/>
      <c r="CS54" s="58"/>
      <c r="CT54" s="58"/>
      <c r="CU54" s="58"/>
      <c r="CV54" s="58"/>
      <c r="CW54" s="58"/>
      <c r="CX54" s="58"/>
      <c r="CY54" s="58"/>
      <c r="CZ54" s="58"/>
      <c r="DA54" s="58"/>
      <c r="DB54" s="58"/>
      <c r="DC54" s="58"/>
      <c r="DD54" s="58"/>
      <c r="DE54" s="58"/>
      <c r="DF54" s="58"/>
      <c r="DG54" s="58"/>
      <c r="DH54" s="58"/>
      <c r="DI54" s="58"/>
      <c r="DJ54" s="58"/>
      <c r="DK54" s="58"/>
      <c r="DL54" s="58"/>
      <c r="DM54" s="58"/>
      <c r="DN54" s="58"/>
      <c r="DO54" s="58"/>
      <c r="DP54" s="58"/>
      <c r="DQ54" s="58"/>
      <c r="DR54" s="58"/>
      <c r="DS54" s="58"/>
      <c r="DT54" s="58"/>
      <c r="DU54" s="58"/>
      <c r="DV54" s="58"/>
      <c r="DW54" s="58"/>
      <c r="DX54" s="58"/>
      <c r="DY54" s="58"/>
      <c r="DZ54" s="58"/>
      <c r="EA54" s="58"/>
      <c r="EB54" s="58"/>
      <c r="EC54" s="58"/>
      <c r="ED54" s="58"/>
      <c r="EE54" s="58"/>
      <c r="EF54" s="58"/>
      <c r="EG54" s="58"/>
      <c r="EH54" s="58"/>
      <c r="EI54" s="58"/>
      <c r="EJ54" s="58"/>
      <c r="EK54" s="58"/>
      <c r="EL54" s="58"/>
      <c r="EM54" s="58"/>
      <c r="EN54" s="58"/>
      <c r="EO54" s="58"/>
      <c r="EP54" s="58"/>
      <c r="EQ54" s="58"/>
      <c r="ER54" s="58"/>
      <c r="ES54" s="58"/>
      <c r="ET54" s="58"/>
      <c r="EU54" s="58"/>
      <c r="EV54" s="58"/>
      <c r="EW54" s="58"/>
      <c r="EX54" s="58"/>
      <c r="EY54" s="58"/>
      <c r="EZ54" s="58"/>
      <c r="FA54" s="58"/>
      <c r="FB54" s="58"/>
      <c r="FC54" s="58"/>
      <c r="FD54" s="58"/>
      <c r="FE54" s="58"/>
      <c r="FF54" s="58"/>
      <c r="FG54" s="58"/>
      <c r="FH54" s="58"/>
      <c r="FI54" s="58"/>
      <c r="FJ54" s="58"/>
      <c r="FK54" s="58"/>
      <c r="FL54" s="58"/>
      <c r="FM54" s="58"/>
      <c r="FN54" s="58"/>
      <c r="FO54" s="58"/>
      <c r="FP54" s="58"/>
      <c r="FQ54" s="58"/>
      <c r="FR54" s="58"/>
      <c r="FS54" s="58"/>
      <c r="FT54" s="58"/>
      <c r="FU54" s="58"/>
      <c r="FV54" s="58"/>
      <c r="FW54" s="58"/>
      <c r="FX54" s="58"/>
      <c r="FY54" s="58"/>
      <c r="FZ54" s="58"/>
      <c r="GA54" s="58"/>
      <c r="GB54" s="58"/>
      <c r="GC54" s="58"/>
      <c r="GD54" s="58"/>
      <c r="GE54" s="58"/>
      <c r="GF54" s="58"/>
      <c r="GG54" s="58"/>
      <c r="GH54" s="58"/>
      <c r="GI54" s="58"/>
      <c r="GJ54" s="58"/>
      <c r="GK54" s="58"/>
      <c r="GL54" s="58"/>
      <c r="GM54" s="58"/>
      <c r="GN54" s="58"/>
      <c r="GO54" s="58"/>
      <c r="GP54" s="58"/>
      <c r="GQ54" s="58"/>
      <c r="GR54" s="58"/>
      <c r="GS54" s="58"/>
      <c r="GT54" s="58"/>
      <c r="GU54" s="58"/>
      <c r="GV54" s="58"/>
      <c r="GW54" s="58"/>
      <c r="GX54" s="58"/>
      <c r="GY54" s="58"/>
      <c r="GZ54" s="58"/>
      <c r="HA54" s="58"/>
      <c r="HB54" s="58"/>
      <c r="HC54" s="58"/>
      <c r="HD54" s="58"/>
      <c r="HE54" s="58"/>
      <c r="HF54" s="58"/>
      <c r="HG54" s="58"/>
      <c r="HH54" s="58"/>
      <c r="HI54" s="58"/>
      <c r="HJ54" s="58"/>
      <c r="HK54" s="58"/>
      <c r="HL54" s="58"/>
      <c r="HM54" s="58"/>
      <c r="HN54" s="58"/>
      <c r="HO54" s="58"/>
      <c r="HP54" s="58"/>
      <c r="HQ54" s="58"/>
      <c r="HR54" s="58"/>
      <c r="HS54" s="58"/>
      <c r="HT54" s="58"/>
      <c r="HU54" s="58"/>
      <c r="HV54" s="58"/>
      <c r="HW54" s="58"/>
      <c r="HX54" s="58"/>
      <c r="HY54" s="58"/>
      <c r="HZ54" s="58"/>
      <c r="IA54" s="58"/>
      <c r="IB54" s="58"/>
      <c r="IC54" s="58"/>
      <c r="ID54" s="58"/>
      <c r="IE54" s="58"/>
      <c r="IF54" s="58"/>
      <c r="IG54" s="58"/>
      <c r="IH54" s="58"/>
      <c r="II54" s="58"/>
      <c r="IJ54" s="58"/>
      <c r="IK54" s="58"/>
      <c r="IL54" s="58"/>
      <c r="IM54" s="58"/>
    </row>
    <row r="55" spans="1:309" s="30" customFormat="1" ht="15" hidden="1" thickBot="1" x14ac:dyDescent="0.35">
      <c r="A55" s="78" t="s">
        <v>594</v>
      </c>
      <c r="B55" s="78" t="s">
        <v>57</v>
      </c>
      <c r="C55" s="78" t="s">
        <v>25</v>
      </c>
      <c r="E55" s="58"/>
      <c r="F55" s="58"/>
      <c r="G55" s="58"/>
      <c r="H55" s="58"/>
      <c r="I55" s="58"/>
      <c r="J55" s="58"/>
      <c r="K55" s="58"/>
      <c r="L55" s="79"/>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c r="BA55" s="58"/>
      <c r="BB55" s="58"/>
      <c r="BC55" s="58"/>
      <c r="BD55" s="58"/>
      <c r="BE55" s="58"/>
      <c r="BF55" s="58"/>
      <c r="BG55" s="58"/>
      <c r="BH55" s="58"/>
      <c r="BI55" s="58"/>
      <c r="BJ55" s="58"/>
      <c r="BK55" s="58"/>
      <c r="BL55" s="68"/>
      <c r="BM55" s="66"/>
      <c r="BN55" s="66"/>
      <c r="BO55" s="66"/>
      <c r="BP55" s="66"/>
      <c r="BQ55" s="66"/>
      <c r="BR55" s="66"/>
      <c r="BS55" s="66"/>
      <c r="BT55" s="66"/>
      <c r="BU55" s="66"/>
      <c r="BV55" s="67"/>
      <c r="BW55" s="58"/>
      <c r="BX55" s="58"/>
      <c r="BY55" s="58"/>
      <c r="BZ55" s="58"/>
      <c r="CA55" s="58"/>
      <c r="CB55" s="58"/>
      <c r="CC55" s="58"/>
      <c r="CD55" s="58"/>
      <c r="CE55" s="58"/>
      <c r="CF55" s="58"/>
      <c r="CG55" s="58"/>
      <c r="CH55" s="58"/>
      <c r="CI55" s="58"/>
      <c r="CJ55" s="58"/>
      <c r="CK55" s="58"/>
      <c r="CL55" s="58"/>
      <c r="CM55" s="58"/>
      <c r="CN55" s="58"/>
      <c r="CO55" s="58"/>
      <c r="CP55" s="58"/>
      <c r="CQ55" s="58"/>
      <c r="CR55" s="58"/>
      <c r="CS55" s="58"/>
      <c r="CT55" s="58"/>
      <c r="CU55" s="58"/>
      <c r="CV55" s="58"/>
      <c r="CW55" s="58"/>
      <c r="CX55" s="58"/>
      <c r="CY55" s="58"/>
      <c r="CZ55" s="58"/>
      <c r="DA55" s="58"/>
      <c r="DB55" s="58"/>
      <c r="DC55" s="58"/>
      <c r="DD55" s="58"/>
      <c r="DE55" s="58"/>
      <c r="DF55" s="58"/>
      <c r="DG55" s="58"/>
      <c r="DH55" s="58"/>
      <c r="DI55" s="58"/>
      <c r="DJ55" s="58"/>
      <c r="DK55" s="58"/>
      <c r="DL55" s="58"/>
      <c r="DM55" s="58"/>
      <c r="DN55" s="58"/>
      <c r="DO55" s="58"/>
      <c r="DP55" s="58"/>
      <c r="DQ55" s="58"/>
      <c r="DR55" s="58"/>
      <c r="DS55" s="58"/>
      <c r="DT55" s="58"/>
      <c r="DU55" s="58"/>
      <c r="DV55" s="58"/>
      <c r="DW55" s="58"/>
      <c r="DX55" s="58"/>
      <c r="DY55" s="58"/>
      <c r="DZ55" s="58"/>
      <c r="EA55" s="58"/>
      <c r="EB55" s="58"/>
      <c r="EC55" s="58"/>
      <c r="ED55" s="58"/>
      <c r="EE55" s="58"/>
      <c r="EF55" s="58"/>
      <c r="EG55" s="58"/>
      <c r="EH55" s="58"/>
      <c r="EI55" s="58"/>
      <c r="EJ55" s="58"/>
      <c r="EK55" s="58"/>
      <c r="EL55" s="58"/>
      <c r="EM55" s="58"/>
      <c r="EN55" s="58"/>
      <c r="EO55" s="58"/>
      <c r="EP55" s="58"/>
      <c r="EQ55" s="58"/>
      <c r="ER55" s="58"/>
      <c r="ES55" s="58"/>
      <c r="ET55" s="58"/>
      <c r="EU55" s="58"/>
      <c r="EV55" s="58"/>
      <c r="EW55" s="58"/>
      <c r="EX55" s="58"/>
      <c r="EY55" s="58"/>
      <c r="EZ55" s="58"/>
      <c r="FA55" s="58"/>
      <c r="FB55" s="58"/>
      <c r="FC55" s="58"/>
      <c r="FD55" s="58"/>
      <c r="FE55" s="58"/>
      <c r="FF55" s="58"/>
      <c r="FG55" s="58"/>
      <c r="FH55" s="58"/>
      <c r="FI55" s="58"/>
      <c r="FJ55" s="58"/>
      <c r="FK55" s="58"/>
      <c r="FL55" s="58"/>
      <c r="FM55" s="58"/>
      <c r="FN55" s="58"/>
      <c r="FO55" s="58"/>
      <c r="FP55" s="58"/>
      <c r="FQ55" s="58"/>
      <c r="FR55" s="58"/>
      <c r="FS55" s="58"/>
      <c r="FT55" s="58"/>
      <c r="FU55" s="58"/>
      <c r="FV55" s="58"/>
      <c r="FW55" s="58"/>
      <c r="FX55" s="58"/>
      <c r="FY55" s="58"/>
      <c r="FZ55" s="58"/>
      <c r="GA55" s="58"/>
      <c r="GB55" s="58"/>
      <c r="GC55" s="58"/>
      <c r="GD55" s="58"/>
      <c r="GE55" s="58"/>
      <c r="GF55" s="58"/>
      <c r="GG55" s="58"/>
      <c r="GH55" s="58"/>
      <c r="GI55" s="58"/>
      <c r="GJ55" s="58"/>
      <c r="GK55" s="58"/>
      <c r="GL55" s="58"/>
      <c r="GM55" s="58"/>
      <c r="GN55" s="58"/>
      <c r="GO55" s="58"/>
      <c r="GP55" s="58"/>
      <c r="GQ55" s="58"/>
      <c r="GR55" s="58"/>
      <c r="GS55" s="58"/>
      <c r="GT55" s="58"/>
      <c r="GU55" s="58"/>
      <c r="GV55" s="58"/>
      <c r="GW55" s="58"/>
      <c r="GX55" s="58"/>
      <c r="GY55" s="58"/>
      <c r="GZ55" s="58"/>
      <c r="HA55" s="58"/>
      <c r="HB55" s="58"/>
      <c r="HC55" s="58"/>
      <c r="HD55" s="58"/>
      <c r="HE55" s="58"/>
      <c r="HF55" s="58"/>
      <c r="HG55" s="58"/>
      <c r="HH55" s="58"/>
      <c r="HI55" s="58"/>
      <c r="HJ55" s="58"/>
      <c r="HK55" s="58"/>
      <c r="HL55" s="58"/>
      <c r="HM55" s="58"/>
      <c r="HN55" s="58"/>
      <c r="HO55" s="58"/>
      <c r="HP55" s="58"/>
      <c r="HQ55" s="58"/>
      <c r="HR55" s="58"/>
      <c r="HS55" s="58"/>
      <c r="HT55" s="58"/>
      <c r="HU55" s="58"/>
      <c r="HV55" s="58"/>
      <c r="HW55" s="58"/>
      <c r="HX55" s="58"/>
      <c r="HY55" s="58"/>
      <c r="HZ55" s="58"/>
      <c r="IA55" s="58"/>
      <c r="IB55" s="58"/>
      <c r="IC55" s="58"/>
      <c r="ID55" s="58"/>
      <c r="IE55" s="58"/>
      <c r="IF55" s="58"/>
      <c r="KO55" s="84"/>
      <c r="KP55" s="85"/>
      <c r="KQ55" s="85"/>
      <c r="KR55" s="85"/>
      <c r="KS55" s="85"/>
      <c r="KT55" s="85"/>
      <c r="KU55" s="85"/>
      <c r="KV55" s="85"/>
      <c r="KW55" s="86"/>
    </row>
    <row r="56" spans="1:309" s="30" customFormat="1" ht="15" hidden="1" thickBot="1" x14ac:dyDescent="0.35">
      <c r="A56" s="37" t="s">
        <v>609</v>
      </c>
      <c r="B56" s="37" t="s">
        <v>81</v>
      </c>
      <c r="C56" s="37" t="s">
        <v>10</v>
      </c>
      <c r="E56" s="74"/>
      <c r="F56" s="74"/>
      <c r="G56" s="74"/>
      <c r="H56" s="74"/>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c r="BA56" s="58"/>
      <c r="BB56" s="58"/>
      <c r="BC56" s="58"/>
      <c r="BD56" s="58"/>
      <c r="BE56" s="58"/>
      <c r="BF56" s="58"/>
      <c r="BG56" s="58"/>
      <c r="BH56" s="58"/>
      <c r="BI56" s="58"/>
      <c r="BJ56" s="58"/>
      <c r="BK56" s="58"/>
      <c r="BL56" s="58"/>
      <c r="BM56" s="58"/>
      <c r="BN56" s="58"/>
      <c r="BO56" s="58"/>
      <c r="BP56" s="58"/>
      <c r="BQ56" s="58"/>
      <c r="BR56" s="58"/>
      <c r="BS56" s="58"/>
      <c r="BT56" s="58"/>
      <c r="BU56" s="58"/>
      <c r="BV56" s="58"/>
      <c r="BW56" s="58"/>
      <c r="BX56" s="58"/>
      <c r="BY56" s="58"/>
      <c r="BZ56" s="58"/>
      <c r="CA56" s="58"/>
      <c r="CB56" s="58"/>
      <c r="CC56" s="58"/>
      <c r="CD56" s="58"/>
      <c r="CE56" s="58"/>
      <c r="CF56" s="68"/>
      <c r="CG56" s="66"/>
      <c r="CH56" s="66"/>
      <c r="CI56" s="66"/>
      <c r="CJ56" s="66"/>
      <c r="CK56" s="66"/>
      <c r="CL56" s="66"/>
      <c r="CM56" s="66"/>
      <c r="CN56" s="67"/>
      <c r="CO56" s="58"/>
      <c r="CP56" s="58"/>
      <c r="CQ56" s="58"/>
      <c r="CR56" s="58"/>
      <c r="CS56" s="58"/>
      <c r="CT56" s="58"/>
      <c r="CU56" s="58"/>
      <c r="CV56" s="58"/>
      <c r="CW56" s="58"/>
      <c r="CX56" s="58"/>
      <c r="CY56" s="58"/>
      <c r="CZ56" s="58"/>
      <c r="DA56" s="58"/>
      <c r="DB56" s="58"/>
      <c r="DC56" s="58"/>
      <c r="DD56" s="58"/>
      <c r="DE56" s="58"/>
      <c r="DF56" s="58"/>
      <c r="DG56" s="58"/>
      <c r="DH56" s="58"/>
      <c r="DI56" s="58"/>
      <c r="DJ56" s="58"/>
      <c r="DK56" s="58"/>
      <c r="DL56" s="58"/>
      <c r="DM56" s="58"/>
      <c r="DN56" s="58"/>
      <c r="DO56" s="58"/>
      <c r="DP56" s="58"/>
      <c r="DQ56" s="58"/>
      <c r="DR56" s="58"/>
      <c r="DS56" s="58"/>
      <c r="DT56" s="58"/>
      <c r="DU56" s="58"/>
      <c r="DV56" s="58"/>
      <c r="DW56" s="58"/>
      <c r="DX56" s="58"/>
      <c r="DY56" s="58"/>
      <c r="DZ56" s="58"/>
      <c r="EA56" s="58"/>
      <c r="EB56" s="58"/>
      <c r="EC56" s="58"/>
      <c r="ED56" s="58"/>
      <c r="EE56" s="58"/>
      <c r="EF56" s="58"/>
      <c r="EG56" s="58"/>
      <c r="EH56" s="58"/>
      <c r="EI56" s="58"/>
      <c r="EJ56" s="58"/>
      <c r="EK56" s="58"/>
      <c r="EL56" s="58"/>
      <c r="EM56" s="58"/>
      <c r="EN56" s="58"/>
      <c r="EO56" s="58"/>
      <c r="EP56" s="58"/>
      <c r="EQ56" s="58"/>
      <c r="ER56" s="58"/>
      <c r="ES56" s="58"/>
      <c r="ET56" s="58"/>
      <c r="EU56" s="58"/>
      <c r="EV56" s="58"/>
      <c r="EW56" s="58"/>
      <c r="EX56" s="58"/>
      <c r="EY56" s="58"/>
      <c r="EZ56" s="58"/>
      <c r="FA56" s="58"/>
      <c r="FB56" s="58"/>
      <c r="FC56" s="58"/>
      <c r="FD56" s="58"/>
      <c r="FE56" s="58"/>
      <c r="FF56" s="58"/>
      <c r="FG56" s="58"/>
      <c r="FH56" s="58"/>
      <c r="FI56" s="58"/>
      <c r="FJ56" s="58"/>
      <c r="FK56" s="58"/>
      <c r="FL56" s="58"/>
      <c r="FM56" s="58"/>
      <c r="FN56" s="58"/>
      <c r="FO56" s="58"/>
      <c r="FP56" s="58"/>
      <c r="FQ56" s="58"/>
      <c r="FR56" s="58"/>
      <c r="FS56" s="58"/>
      <c r="FT56" s="58"/>
      <c r="FU56" s="58"/>
      <c r="FV56" s="58"/>
      <c r="FW56" s="58"/>
      <c r="FX56" s="58"/>
      <c r="FY56" s="58"/>
      <c r="FZ56" s="58"/>
      <c r="GA56" s="58"/>
      <c r="GB56" s="58"/>
      <c r="GC56" s="58"/>
      <c r="GD56" s="58"/>
      <c r="GE56" s="58"/>
      <c r="GF56" s="58"/>
      <c r="GG56" s="58"/>
      <c r="GH56" s="58"/>
      <c r="GI56" s="58"/>
      <c r="GJ56" s="58"/>
      <c r="GK56" s="58"/>
      <c r="GL56" s="58"/>
      <c r="GM56" s="58"/>
      <c r="GN56" s="58"/>
      <c r="GO56" s="58"/>
      <c r="GP56" s="58"/>
      <c r="GQ56" s="58"/>
      <c r="GR56" s="58"/>
      <c r="GS56" s="58"/>
      <c r="GT56" s="58"/>
      <c r="GU56" s="58"/>
      <c r="GV56" s="58"/>
      <c r="GW56" s="58"/>
      <c r="GX56" s="58"/>
      <c r="GY56" s="58"/>
      <c r="GZ56" s="58"/>
      <c r="HA56" s="58"/>
      <c r="HB56" s="58"/>
      <c r="HC56" s="58"/>
      <c r="HD56" s="58"/>
      <c r="HE56" s="58"/>
      <c r="HF56" s="58"/>
      <c r="HG56" s="58"/>
      <c r="HH56" s="58"/>
      <c r="HI56" s="58"/>
      <c r="HJ56" s="58"/>
      <c r="HK56" s="58"/>
      <c r="HL56" s="58"/>
      <c r="HM56" s="58"/>
      <c r="HN56" s="58"/>
      <c r="HO56" s="58"/>
      <c r="HP56" s="58"/>
      <c r="HQ56" s="58"/>
      <c r="HR56" s="58"/>
      <c r="HS56" s="58"/>
      <c r="HT56" s="58"/>
      <c r="HU56" s="58"/>
      <c r="HV56" s="58"/>
      <c r="HW56" s="58"/>
      <c r="HX56" s="58"/>
      <c r="HY56" s="58"/>
      <c r="HZ56" s="58"/>
      <c r="IA56" s="58"/>
      <c r="IB56" s="58"/>
      <c r="IC56" s="58"/>
      <c r="ID56" s="58"/>
      <c r="IE56" s="58"/>
      <c r="IF56" s="58"/>
      <c r="IG56" s="58"/>
      <c r="IH56" s="58"/>
      <c r="II56" s="58"/>
      <c r="IJ56" s="58"/>
      <c r="IK56" s="58"/>
      <c r="IL56" s="58"/>
      <c r="IM56" s="58"/>
    </row>
    <row r="57" spans="1:309" s="30" customFormat="1" ht="15" hidden="1" thickBot="1" x14ac:dyDescent="0.35">
      <c r="A57" s="19" t="s">
        <v>609</v>
      </c>
      <c r="B57" s="19" t="s">
        <v>55</v>
      </c>
      <c r="C57" s="19" t="s">
        <v>22</v>
      </c>
      <c r="E57" s="59"/>
      <c r="F57" s="72"/>
      <c r="G57" s="72"/>
      <c r="H57" s="72"/>
      <c r="I57" s="58"/>
      <c r="J57" s="58"/>
      <c r="K57" s="58"/>
      <c r="L57" s="58"/>
      <c r="M57" s="68"/>
      <c r="N57" s="66"/>
      <c r="O57" s="66"/>
      <c r="P57" s="66"/>
      <c r="Q57" s="66"/>
      <c r="R57" s="67"/>
      <c r="S57" s="68"/>
      <c r="T57" s="66"/>
      <c r="U57" s="66"/>
      <c r="V57" s="66"/>
      <c r="W57" s="66"/>
      <c r="X57" s="66"/>
      <c r="Y57" s="66"/>
      <c r="Z57" s="66"/>
      <c r="AA57" s="66"/>
      <c r="AB57" s="66"/>
      <c r="AC57" s="67"/>
      <c r="AD57" s="58"/>
      <c r="AE57" s="58"/>
      <c r="AF57" s="58" t="s">
        <v>263</v>
      </c>
      <c r="AG57" s="58" t="s">
        <v>263</v>
      </c>
      <c r="AH57" s="58" t="s">
        <v>263</v>
      </c>
      <c r="AI57" s="58" t="s">
        <v>263</v>
      </c>
      <c r="AJ57" s="58" t="s">
        <v>263</v>
      </c>
      <c r="AK57" s="58" t="s">
        <v>263</v>
      </c>
      <c r="AL57" s="58" t="s">
        <v>263</v>
      </c>
      <c r="AM57" s="58" t="s">
        <v>263</v>
      </c>
      <c r="AN57" s="58" t="s">
        <v>263</v>
      </c>
      <c r="AO57" s="58" t="s">
        <v>263</v>
      </c>
      <c r="AP57" s="58" t="s">
        <v>263</v>
      </c>
      <c r="AQ57" s="58" t="s">
        <v>263</v>
      </c>
      <c r="AR57" s="58" t="s">
        <v>263</v>
      </c>
      <c r="AS57" s="58" t="s">
        <v>263</v>
      </c>
      <c r="AT57" s="58" t="s">
        <v>263</v>
      </c>
      <c r="AU57" s="58" t="s">
        <v>263</v>
      </c>
      <c r="AV57" s="58" t="s">
        <v>263</v>
      </c>
      <c r="AW57" s="58" t="s">
        <v>263</v>
      </c>
      <c r="AX57" s="58" t="s">
        <v>263</v>
      </c>
      <c r="AY57" s="58" t="s">
        <v>263</v>
      </c>
      <c r="AZ57" s="58" t="s">
        <v>263</v>
      </c>
      <c r="BA57" s="58" t="s">
        <v>263</v>
      </c>
      <c r="BB57" s="58" t="s">
        <v>263</v>
      </c>
      <c r="BC57" s="58" t="s">
        <v>263</v>
      </c>
      <c r="BD57" s="58" t="s">
        <v>263</v>
      </c>
      <c r="BE57" s="58" t="s">
        <v>263</v>
      </c>
      <c r="BF57" s="58" t="s">
        <v>263</v>
      </c>
      <c r="BG57" s="58" t="s">
        <v>263</v>
      </c>
      <c r="BH57" s="58" t="s">
        <v>263</v>
      </c>
      <c r="BI57" s="58" t="s">
        <v>263</v>
      </c>
      <c r="BJ57" s="58" t="s">
        <v>263</v>
      </c>
      <c r="BK57" s="58" t="s">
        <v>263</v>
      </c>
      <c r="BL57" s="58" t="s">
        <v>263</v>
      </c>
      <c r="BM57" s="58" t="s">
        <v>263</v>
      </c>
      <c r="BN57" s="58" t="s">
        <v>263</v>
      </c>
      <c r="BO57" s="58" t="s">
        <v>263</v>
      </c>
      <c r="BP57" s="58" t="s">
        <v>263</v>
      </c>
      <c r="BQ57" s="58" t="s">
        <v>263</v>
      </c>
      <c r="BR57" s="58" t="s">
        <v>263</v>
      </c>
      <c r="BS57" s="58" t="s">
        <v>263</v>
      </c>
      <c r="BT57" s="58" t="s">
        <v>263</v>
      </c>
      <c r="BU57" s="58" t="s">
        <v>263</v>
      </c>
      <c r="BV57" s="58" t="s">
        <v>263</v>
      </c>
      <c r="BW57" s="58" t="s">
        <v>263</v>
      </c>
      <c r="BX57" s="58" t="s">
        <v>263</v>
      </c>
      <c r="BY57" s="58" t="s">
        <v>263</v>
      </c>
      <c r="BZ57" s="58" t="s">
        <v>263</v>
      </c>
      <c r="CA57" s="58" t="s">
        <v>263</v>
      </c>
      <c r="CB57" s="58" t="s">
        <v>263</v>
      </c>
      <c r="CC57" s="58" t="s">
        <v>263</v>
      </c>
      <c r="CD57" s="58" t="s">
        <v>263</v>
      </c>
      <c r="CE57" s="58" t="s">
        <v>263</v>
      </c>
      <c r="CF57" s="58" t="s">
        <v>263</v>
      </c>
      <c r="CG57" s="58" t="s">
        <v>263</v>
      </c>
      <c r="CH57" s="58" t="s">
        <v>263</v>
      </c>
      <c r="CI57" s="58" t="s">
        <v>263</v>
      </c>
      <c r="CJ57" s="58" t="s">
        <v>263</v>
      </c>
      <c r="CK57" s="58" t="s">
        <v>263</v>
      </c>
      <c r="CL57" s="58" t="s">
        <v>263</v>
      </c>
      <c r="CM57" s="58" t="s">
        <v>263</v>
      </c>
      <c r="CN57" s="58" t="s">
        <v>263</v>
      </c>
      <c r="CO57" s="58" t="s">
        <v>263</v>
      </c>
      <c r="CP57" s="58" t="s">
        <v>263</v>
      </c>
      <c r="CQ57" s="58" t="s">
        <v>263</v>
      </c>
      <c r="CR57" s="58" t="s">
        <v>263</v>
      </c>
      <c r="CS57" s="58" t="s">
        <v>263</v>
      </c>
      <c r="CT57" s="58" t="s">
        <v>263</v>
      </c>
      <c r="CU57" s="58" t="s">
        <v>263</v>
      </c>
      <c r="CV57" s="58"/>
      <c r="CW57" s="58"/>
      <c r="CX57" s="58"/>
      <c r="CY57" s="58"/>
      <c r="CZ57" s="58"/>
      <c r="DA57" s="58"/>
      <c r="DB57" s="58"/>
      <c r="DC57" s="58"/>
      <c r="DD57" s="58"/>
      <c r="DE57" s="58"/>
      <c r="DF57" s="58"/>
      <c r="DG57" s="58"/>
      <c r="DH57" s="58"/>
      <c r="DI57" s="58"/>
      <c r="DJ57" s="58"/>
      <c r="DK57" s="58"/>
      <c r="DL57" s="58"/>
      <c r="DM57" s="58"/>
      <c r="DN57" s="58"/>
      <c r="DO57" s="58"/>
      <c r="DP57" s="58"/>
      <c r="DQ57" s="58"/>
      <c r="DR57" s="58"/>
      <c r="DS57" s="58"/>
      <c r="DT57" s="58"/>
      <c r="DU57" s="58"/>
      <c r="DV57" s="58"/>
      <c r="DW57" s="58"/>
      <c r="DX57" s="58"/>
      <c r="DY57" s="58"/>
      <c r="DZ57" s="58"/>
      <c r="EA57" s="58"/>
      <c r="EB57" s="58"/>
      <c r="EC57" s="58"/>
      <c r="ED57" s="58"/>
      <c r="EE57" s="58"/>
      <c r="EF57" s="58"/>
      <c r="EG57" s="58"/>
      <c r="EH57" s="58"/>
      <c r="EI57" s="58"/>
      <c r="EJ57" s="58"/>
      <c r="EK57" s="58"/>
      <c r="EL57" s="58"/>
      <c r="EM57" s="58"/>
      <c r="EN57" s="58"/>
      <c r="EO57" s="58"/>
      <c r="EP57" s="58"/>
      <c r="EQ57" s="58"/>
      <c r="ER57" s="58"/>
      <c r="ES57" s="58"/>
      <c r="ET57" s="58"/>
      <c r="EU57" s="58"/>
      <c r="EV57" s="58"/>
      <c r="EW57" s="58"/>
      <c r="EX57" s="58"/>
      <c r="EY57" s="58"/>
      <c r="EZ57" s="58"/>
      <c r="FA57" s="58"/>
      <c r="FB57" s="58"/>
      <c r="FC57" s="58"/>
      <c r="FD57" s="58"/>
      <c r="FE57" s="58"/>
      <c r="FF57" s="58"/>
      <c r="FG57" s="58"/>
      <c r="FH57" s="58"/>
      <c r="FI57" s="58"/>
      <c r="FJ57" s="58"/>
      <c r="FK57" s="58"/>
      <c r="FL57" s="58"/>
      <c r="FM57" s="58"/>
      <c r="FN57" s="58"/>
      <c r="FO57" s="58"/>
      <c r="FP57" s="58"/>
      <c r="FQ57" s="58"/>
      <c r="FR57" s="58"/>
      <c r="FS57" s="58"/>
      <c r="FT57" s="58"/>
      <c r="FU57" s="58"/>
      <c r="FV57" s="58"/>
      <c r="FW57" s="58"/>
      <c r="FX57" s="58"/>
      <c r="FY57" s="58"/>
      <c r="FZ57" s="58"/>
      <c r="GA57" s="58"/>
      <c r="GB57" s="58"/>
      <c r="GC57" s="58"/>
      <c r="GD57" s="58"/>
      <c r="GE57" s="58"/>
      <c r="GF57" s="58"/>
      <c r="GG57" s="58"/>
      <c r="GH57" s="58"/>
      <c r="GI57" s="58"/>
      <c r="GJ57" s="58"/>
      <c r="GK57" s="58"/>
      <c r="GL57" s="58"/>
      <c r="GM57" s="58"/>
      <c r="GN57" s="58"/>
      <c r="GO57" s="58"/>
      <c r="GP57" s="58"/>
      <c r="GQ57" s="58"/>
      <c r="GR57" s="58"/>
      <c r="GS57" s="58"/>
      <c r="GT57" s="58"/>
      <c r="GU57" s="58"/>
      <c r="GV57" s="58"/>
      <c r="GW57" s="58"/>
      <c r="GX57" s="58"/>
      <c r="GY57" s="58"/>
      <c r="GZ57" s="58"/>
      <c r="HA57" s="58"/>
      <c r="HB57" s="58"/>
      <c r="HC57" s="58"/>
      <c r="HD57" s="58"/>
      <c r="HE57" s="58"/>
      <c r="HF57" s="58"/>
      <c r="HG57" s="58"/>
      <c r="HH57" s="58"/>
      <c r="HI57" s="58"/>
      <c r="HJ57" s="58"/>
      <c r="HK57" s="58"/>
      <c r="HL57" s="58"/>
      <c r="HM57" s="58"/>
      <c r="HN57" s="58"/>
      <c r="HO57" s="58"/>
      <c r="HP57" s="58"/>
      <c r="HQ57" s="58"/>
      <c r="HR57" s="58"/>
      <c r="HS57" s="58"/>
      <c r="HT57" s="58"/>
      <c r="HU57" s="58"/>
      <c r="HV57" s="58"/>
      <c r="HW57" s="58"/>
      <c r="HX57" s="58"/>
      <c r="HY57" s="58"/>
      <c r="HZ57" s="58"/>
      <c r="IA57" s="58"/>
      <c r="IB57" s="58"/>
      <c r="IC57" s="58"/>
      <c r="ID57" s="58"/>
      <c r="IE57" s="58"/>
      <c r="IF57" s="58"/>
      <c r="IG57" s="58"/>
      <c r="IH57" s="58"/>
      <c r="II57" s="58"/>
      <c r="IJ57" s="58"/>
      <c r="IK57" s="58"/>
      <c r="IL57" s="58"/>
      <c r="IM57" s="58"/>
      <c r="IN57" s="58"/>
      <c r="IO57" s="58"/>
      <c r="IP57" s="58"/>
      <c r="IQ57" s="58"/>
      <c r="IR57" s="58"/>
      <c r="IS57" s="58"/>
      <c r="IT57" s="58"/>
      <c r="IU57" s="58"/>
      <c r="IV57" s="58"/>
      <c r="IW57" s="58"/>
      <c r="IX57" s="58"/>
      <c r="IY57" s="58"/>
      <c r="IZ57" s="58"/>
      <c r="JA57" s="58"/>
      <c r="JB57" s="58"/>
      <c r="JC57" s="58"/>
      <c r="JD57" s="58"/>
      <c r="JE57" s="58"/>
      <c r="JF57" s="58"/>
      <c r="JG57" s="58"/>
      <c r="JH57" s="58"/>
      <c r="JI57" s="58"/>
      <c r="JJ57" s="58"/>
      <c r="JK57" s="58"/>
      <c r="JL57" s="58"/>
      <c r="JM57" s="58"/>
      <c r="JN57" s="58"/>
      <c r="JO57" s="58"/>
      <c r="JP57" s="58"/>
      <c r="JQ57" s="58"/>
      <c r="JR57" s="58"/>
      <c r="JS57" s="58"/>
      <c r="JT57" s="58"/>
      <c r="JU57" s="58"/>
      <c r="JV57" s="58"/>
      <c r="JW57" s="58"/>
      <c r="JX57" s="58"/>
      <c r="JY57" s="58"/>
      <c r="JZ57" s="58"/>
      <c r="KA57" s="58"/>
      <c r="KB57" s="58"/>
      <c r="KC57" s="58"/>
      <c r="KD57" s="58"/>
      <c r="KE57" s="58"/>
      <c r="KF57" s="58"/>
      <c r="KG57" s="58"/>
      <c r="KH57" s="58"/>
      <c r="KI57" s="58"/>
      <c r="KJ57" s="58"/>
      <c r="KK57" s="58"/>
      <c r="KL57" s="58"/>
      <c r="KM57" s="58"/>
      <c r="KN57" s="58"/>
      <c r="KO57" s="58"/>
    </row>
    <row r="58" spans="1:309" s="30" customFormat="1" ht="15" hidden="1" thickBot="1" x14ac:dyDescent="0.35">
      <c r="A58" s="20" t="s">
        <v>609</v>
      </c>
      <c r="B58" s="20" t="s">
        <v>57</v>
      </c>
      <c r="C58" s="20" t="s">
        <v>27</v>
      </c>
      <c r="E58" s="58"/>
      <c r="F58" s="187"/>
      <c r="G58" s="187"/>
      <c r="H58" s="187"/>
      <c r="I58" s="187"/>
      <c r="J58" s="187"/>
      <c r="K58" s="187"/>
      <c r="L58" s="187"/>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c r="BM58" s="58"/>
      <c r="BN58" s="58"/>
      <c r="BO58" s="58"/>
      <c r="BP58" s="58"/>
      <c r="BQ58" s="58"/>
      <c r="BR58" s="58"/>
      <c r="BS58" s="58"/>
      <c r="BT58" s="58"/>
      <c r="BU58" s="58"/>
      <c r="BV58" s="58"/>
      <c r="BW58" s="58"/>
      <c r="BX58" s="58"/>
      <c r="BY58" s="58"/>
      <c r="BZ58" s="58"/>
      <c r="CA58" s="58"/>
      <c r="CB58" s="58"/>
      <c r="CC58" s="58"/>
      <c r="CD58" s="58"/>
      <c r="CE58" s="58"/>
      <c r="CF58" s="58"/>
      <c r="CG58" s="58"/>
      <c r="CH58" s="58"/>
      <c r="CI58" s="58"/>
      <c r="CJ58" s="58"/>
      <c r="CK58" s="58"/>
      <c r="CL58" s="58"/>
      <c r="CM58" s="58"/>
      <c r="CN58" s="58"/>
      <c r="CO58" s="58"/>
      <c r="CP58" s="58"/>
      <c r="CQ58" s="58"/>
      <c r="CR58" s="58"/>
      <c r="CS58" s="58"/>
      <c r="CT58" s="58"/>
      <c r="CU58" s="58"/>
      <c r="CV58" s="58"/>
      <c r="CW58" s="58"/>
      <c r="CX58" s="58"/>
      <c r="CY58" s="58"/>
      <c r="CZ58" s="58"/>
      <c r="DA58" s="58"/>
      <c r="DB58" s="58"/>
      <c r="DC58" s="58"/>
      <c r="DD58" s="58"/>
      <c r="DE58" s="58"/>
      <c r="DF58" s="58"/>
      <c r="DG58" s="58"/>
      <c r="DH58" s="58"/>
      <c r="DI58" s="58"/>
      <c r="DJ58" s="58"/>
      <c r="DK58" s="58"/>
      <c r="DL58" s="58"/>
      <c r="DM58" s="58"/>
      <c r="DN58" s="58"/>
      <c r="DO58" s="58"/>
      <c r="DP58" s="58"/>
      <c r="DQ58" s="58"/>
      <c r="DR58" s="58"/>
      <c r="DS58" s="58"/>
      <c r="DT58" s="58"/>
      <c r="DU58" s="58"/>
      <c r="DV58" s="58"/>
      <c r="DW58" s="58"/>
      <c r="DX58" s="58"/>
      <c r="DY58" s="58"/>
      <c r="DZ58" s="58"/>
      <c r="EA58" s="58"/>
      <c r="EB58" s="58"/>
      <c r="EC58" s="58"/>
      <c r="ED58" s="58"/>
      <c r="EE58" s="58"/>
      <c r="EF58" s="58"/>
      <c r="EG58" s="58"/>
      <c r="EH58" s="58"/>
      <c r="EI58" s="58"/>
      <c r="EJ58" s="58"/>
      <c r="EK58" s="58"/>
      <c r="EL58" s="58"/>
      <c r="EM58" s="58"/>
      <c r="EN58" s="58"/>
      <c r="EO58" s="58"/>
      <c r="EP58" s="58"/>
      <c r="EQ58" s="58"/>
      <c r="ER58" s="58"/>
      <c r="ES58" s="58"/>
      <c r="ET58" s="58"/>
      <c r="EU58" s="58"/>
      <c r="EV58" s="58"/>
      <c r="EW58" s="58"/>
      <c r="EX58" s="58"/>
      <c r="EY58" s="58"/>
      <c r="EZ58" s="58"/>
      <c r="FA58" s="58"/>
      <c r="FB58" s="58"/>
      <c r="FC58" s="58"/>
      <c r="FD58" s="58"/>
      <c r="FE58" s="58"/>
      <c r="FF58" s="58"/>
      <c r="FG58" s="58"/>
      <c r="FH58" s="58"/>
      <c r="FI58" s="58"/>
      <c r="FJ58" s="58"/>
      <c r="FK58" s="58"/>
      <c r="FL58" s="58"/>
      <c r="FM58" s="58"/>
      <c r="FN58" s="58"/>
      <c r="FO58" s="58"/>
      <c r="FP58" s="58"/>
      <c r="FQ58" s="58"/>
      <c r="FR58" s="58"/>
      <c r="FS58" s="58"/>
      <c r="FT58" s="58"/>
      <c r="FU58" s="58"/>
      <c r="FV58" s="58"/>
      <c r="FW58" s="58"/>
      <c r="FX58" s="58"/>
      <c r="FY58" s="58"/>
      <c r="FZ58" s="58"/>
      <c r="GA58" s="58"/>
      <c r="GB58" s="58"/>
      <c r="GC58" s="58"/>
      <c r="GD58" s="58"/>
      <c r="GE58" s="58"/>
      <c r="GF58" s="58"/>
      <c r="GG58" s="58"/>
      <c r="GH58" s="58"/>
      <c r="GI58" s="58"/>
      <c r="GJ58" s="58"/>
      <c r="GK58" s="58"/>
      <c r="GL58" s="58"/>
      <c r="GM58" s="58"/>
      <c r="GN58" s="58"/>
      <c r="GO58" s="58"/>
      <c r="GP58" s="58"/>
      <c r="GQ58" s="58"/>
      <c r="GR58" s="58"/>
      <c r="GS58" s="58"/>
      <c r="GT58" s="58"/>
      <c r="GU58" s="58"/>
      <c r="GV58" s="58"/>
      <c r="GW58" s="58"/>
      <c r="GX58" s="58"/>
      <c r="GY58" s="58"/>
      <c r="GZ58" s="58"/>
      <c r="HA58" s="58"/>
      <c r="HB58" s="58"/>
      <c r="HC58" s="58"/>
      <c r="HD58" s="58"/>
      <c r="HE58" s="58"/>
      <c r="HF58" s="58"/>
      <c r="HG58" s="58"/>
      <c r="HH58" s="58"/>
      <c r="HI58" s="58"/>
      <c r="HJ58" s="58"/>
      <c r="HK58" s="58"/>
      <c r="HL58" s="58"/>
      <c r="HM58" s="58"/>
      <c r="HN58" s="58"/>
      <c r="HO58" s="58"/>
      <c r="HP58" s="58"/>
      <c r="HQ58" s="58"/>
      <c r="HR58" s="58"/>
      <c r="HS58" s="58"/>
      <c r="HT58" s="58"/>
      <c r="HU58" s="58"/>
      <c r="HV58" s="58"/>
      <c r="HW58" s="58"/>
      <c r="HX58" s="58"/>
      <c r="HY58" s="58"/>
      <c r="HZ58" s="58"/>
      <c r="IA58" s="58"/>
      <c r="IB58" s="58"/>
      <c r="IC58" s="58"/>
      <c r="ID58" s="58"/>
      <c r="IE58" s="58"/>
      <c r="IF58" s="58"/>
      <c r="IG58" s="58"/>
      <c r="IH58" s="58"/>
      <c r="II58" s="58"/>
      <c r="IJ58" s="58"/>
      <c r="IK58" s="58"/>
      <c r="IL58" s="58"/>
      <c r="IM58" s="58"/>
    </row>
    <row r="59" spans="1:309" s="30" customFormat="1" ht="15" hidden="1" thickBot="1" x14ac:dyDescent="0.35">
      <c r="A59" s="78" t="s">
        <v>609</v>
      </c>
      <c r="B59" s="78" t="s">
        <v>57</v>
      </c>
      <c r="C59" s="78" t="s">
        <v>25</v>
      </c>
      <c r="E59" s="58"/>
      <c r="F59" s="58"/>
      <c r="G59" s="58"/>
      <c r="H59" s="58"/>
      <c r="I59" s="58"/>
      <c r="J59" s="58"/>
      <c r="K59" s="58"/>
      <c r="L59" s="79"/>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c r="BA59" s="58"/>
      <c r="BB59" s="58"/>
      <c r="BC59" s="58"/>
      <c r="BD59" s="58"/>
      <c r="BE59" s="58"/>
      <c r="BF59" s="58"/>
      <c r="BG59" s="58"/>
      <c r="BH59" s="58"/>
      <c r="BI59" s="58"/>
      <c r="BJ59" s="58"/>
      <c r="BK59" s="58"/>
      <c r="BL59" s="68"/>
      <c r="BM59" s="66"/>
      <c r="BN59" s="66"/>
      <c r="BO59" s="66"/>
      <c r="BP59" s="66"/>
      <c r="BQ59" s="66"/>
      <c r="BR59" s="66"/>
      <c r="BS59" s="66"/>
      <c r="BT59" s="66"/>
      <c r="BU59" s="66"/>
      <c r="BV59" s="67"/>
      <c r="BW59" s="58"/>
      <c r="BX59" s="58"/>
      <c r="BY59" s="58"/>
      <c r="BZ59" s="58"/>
      <c r="CA59" s="58"/>
      <c r="CB59" s="58"/>
      <c r="CC59" s="58"/>
      <c r="CD59" s="58"/>
      <c r="CE59" s="58"/>
      <c r="CF59" s="58"/>
      <c r="CG59" s="58"/>
      <c r="CH59" s="58"/>
      <c r="CI59" s="58"/>
      <c r="CJ59" s="58"/>
      <c r="CK59" s="58"/>
      <c r="CL59" s="58"/>
      <c r="CM59" s="58"/>
      <c r="CN59" s="58"/>
      <c r="CO59" s="58"/>
      <c r="CP59" s="58"/>
      <c r="CQ59" s="58"/>
      <c r="CR59" s="58"/>
      <c r="CS59" s="58"/>
      <c r="CT59" s="58"/>
      <c r="CU59" s="58"/>
      <c r="CV59" s="58"/>
      <c r="CW59" s="58"/>
      <c r="CX59" s="58"/>
      <c r="CY59" s="58"/>
      <c r="CZ59" s="58"/>
      <c r="DA59" s="58"/>
      <c r="DB59" s="58"/>
      <c r="DC59" s="58"/>
      <c r="DD59" s="58"/>
      <c r="DE59" s="58"/>
      <c r="DF59" s="58"/>
      <c r="DG59" s="58"/>
      <c r="DH59" s="58"/>
      <c r="DI59" s="58"/>
      <c r="DJ59" s="58"/>
      <c r="DK59" s="58"/>
      <c r="DL59" s="58"/>
      <c r="DM59" s="58"/>
      <c r="DN59" s="58"/>
      <c r="DO59" s="58"/>
      <c r="DP59" s="58"/>
      <c r="DQ59" s="58"/>
      <c r="DR59" s="58"/>
      <c r="DS59" s="58"/>
      <c r="DT59" s="58"/>
      <c r="DU59" s="58"/>
      <c r="DV59" s="58"/>
      <c r="DW59" s="58"/>
      <c r="DX59" s="58"/>
      <c r="DY59" s="58"/>
      <c r="DZ59" s="58"/>
      <c r="EA59" s="58"/>
      <c r="EB59" s="58"/>
      <c r="EC59" s="58"/>
      <c r="ED59" s="58"/>
      <c r="EE59" s="58"/>
      <c r="EF59" s="58"/>
      <c r="EG59" s="58"/>
      <c r="EH59" s="58"/>
      <c r="EI59" s="58"/>
      <c r="EJ59" s="58"/>
      <c r="EK59" s="58"/>
      <c r="EL59" s="58"/>
      <c r="EM59" s="58"/>
      <c r="EN59" s="58"/>
      <c r="EO59" s="58"/>
      <c r="EP59" s="58"/>
      <c r="EQ59" s="58"/>
      <c r="ER59" s="58"/>
      <c r="ES59" s="58"/>
      <c r="ET59" s="58"/>
      <c r="EU59" s="58"/>
      <c r="EV59" s="58"/>
      <c r="EW59" s="58"/>
      <c r="EX59" s="58"/>
      <c r="EY59" s="58"/>
      <c r="EZ59" s="58"/>
      <c r="FA59" s="58"/>
      <c r="FB59" s="58"/>
      <c r="FC59" s="58"/>
      <c r="FD59" s="58"/>
      <c r="FE59" s="58"/>
      <c r="FF59" s="58"/>
      <c r="FG59" s="58"/>
      <c r="FH59" s="58"/>
      <c r="FI59" s="58"/>
      <c r="FJ59" s="58"/>
      <c r="FK59" s="58"/>
      <c r="FL59" s="58"/>
      <c r="FM59" s="58"/>
      <c r="FN59" s="58"/>
      <c r="FO59" s="58"/>
      <c r="FP59" s="58"/>
      <c r="FQ59" s="58"/>
      <c r="FR59" s="58"/>
      <c r="FS59" s="58"/>
      <c r="FT59" s="58"/>
      <c r="FU59" s="58"/>
      <c r="FV59" s="58"/>
      <c r="FW59" s="58"/>
      <c r="FX59" s="58"/>
      <c r="FY59" s="58"/>
      <c r="FZ59" s="58"/>
      <c r="GA59" s="58"/>
      <c r="GB59" s="58"/>
      <c r="GC59" s="58"/>
      <c r="GD59" s="58"/>
      <c r="GE59" s="58"/>
      <c r="GF59" s="58"/>
      <c r="GG59" s="58"/>
      <c r="GH59" s="58"/>
      <c r="GI59" s="58"/>
      <c r="GJ59" s="58"/>
      <c r="GK59" s="58"/>
      <c r="GL59" s="58"/>
      <c r="GM59" s="58"/>
      <c r="GN59" s="58"/>
      <c r="GO59" s="58"/>
      <c r="GP59" s="58"/>
      <c r="GQ59" s="58"/>
      <c r="GR59" s="58"/>
      <c r="GS59" s="58"/>
      <c r="GT59" s="58"/>
      <c r="GU59" s="58"/>
      <c r="GV59" s="58"/>
      <c r="GW59" s="58"/>
      <c r="GX59" s="58"/>
      <c r="GY59" s="58"/>
      <c r="GZ59" s="58"/>
      <c r="HA59" s="58"/>
      <c r="HB59" s="58"/>
      <c r="HC59" s="58"/>
      <c r="HD59" s="58"/>
      <c r="HE59" s="58"/>
      <c r="HF59" s="58"/>
      <c r="HG59" s="58"/>
      <c r="HH59" s="58"/>
      <c r="HI59" s="58"/>
      <c r="HJ59" s="58"/>
      <c r="HK59" s="58"/>
      <c r="HL59" s="58"/>
      <c r="HM59" s="58"/>
      <c r="HN59" s="58"/>
      <c r="HO59" s="58"/>
      <c r="HP59" s="58"/>
      <c r="HQ59" s="58"/>
      <c r="HR59" s="58"/>
      <c r="HS59" s="58"/>
      <c r="HT59" s="58"/>
      <c r="HU59" s="58"/>
      <c r="HV59" s="58"/>
      <c r="HW59" s="58"/>
      <c r="HX59" s="58"/>
      <c r="HY59" s="58"/>
      <c r="HZ59" s="58"/>
      <c r="IA59" s="58"/>
      <c r="IB59" s="58"/>
      <c r="IC59" s="58"/>
      <c r="ID59" s="58"/>
      <c r="IE59" s="58"/>
      <c r="IF59" s="58"/>
      <c r="IG59" s="58"/>
      <c r="IH59" s="58"/>
      <c r="II59" s="58"/>
      <c r="IJ59" s="58"/>
      <c r="IK59" s="58"/>
      <c r="IL59" s="58"/>
      <c r="IM59" s="58"/>
      <c r="IN59" s="58"/>
      <c r="IO59" s="58"/>
      <c r="IP59" s="58"/>
      <c r="IQ59" s="58"/>
      <c r="IR59" s="58"/>
      <c r="IS59" s="58"/>
      <c r="IT59" s="58"/>
      <c r="IU59" s="58"/>
      <c r="IV59" s="58"/>
      <c r="IW59" s="58"/>
      <c r="IX59" s="58"/>
      <c r="IY59" s="58"/>
      <c r="IZ59" s="58"/>
      <c r="JA59" s="58"/>
      <c r="JB59" s="58"/>
      <c r="JC59" s="58"/>
      <c r="JD59" s="58"/>
      <c r="JE59" s="58"/>
      <c r="JF59" s="58"/>
      <c r="JG59" s="58"/>
      <c r="JH59" s="58"/>
      <c r="JI59" s="58"/>
      <c r="JJ59" s="58"/>
      <c r="JK59" s="58"/>
      <c r="JL59" s="58"/>
      <c r="JM59" s="58"/>
      <c r="JN59" s="58"/>
      <c r="JO59" s="58"/>
      <c r="JP59" s="58"/>
      <c r="JQ59" s="58"/>
      <c r="JR59" s="58"/>
      <c r="JS59" s="58"/>
      <c r="JT59" s="58"/>
      <c r="JU59" s="58"/>
      <c r="JV59" s="58"/>
      <c r="JW59" s="58"/>
      <c r="JX59" s="58"/>
      <c r="JY59" s="58"/>
      <c r="JZ59" s="58"/>
      <c r="KA59" s="58"/>
      <c r="KO59" s="84"/>
      <c r="KP59" s="85"/>
      <c r="KQ59" s="85"/>
      <c r="KR59" s="85"/>
      <c r="KS59" s="85"/>
      <c r="KT59" s="85"/>
      <c r="KU59" s="85"/>
      <c r="KV59" s="85"/>
      <c r="KW59" s="86"/>
    </row>
    <row r="60" spans="1:309" s="30" customFormat="1" ht="15" hidden="1" thickBot="1" x14ac:dyDescent="0.35">
      <c r="A60" s="19" t="s">
        <v>627</v>
      </c>
      <c r="B60" s="19" t="s">
        <v>55</v>
      </c>
      <c r="C60" s="19" t="s">
        <v>22</v>
      </c>
      <c r="E60" s="59"/>
      <c r="F60" s="72"/>
      <c r="G60" s="72"/>
      <c r="H60" s="72"/>
      <c r="I60" s="58"/>
      <c r="J60" s="58"/>
      <c r="K60" s="58"/>
      <c r="L60" s="58"/>
      <c r="M60" s="68"/>
      <c r="N60" s="66"/>
      <c r="O60" s="66"/>
      <c r="P60" s="66"/>
      <c r="Q60" s="66"/>
      <c r="R60" s="67"/>
      <c r="S60" s="68"/>
      <c r="T60" s="66"/>
      <c r="U60" s="66"/>
      <c r="V60" s="66"/>
      <c r="W60" s="66"/>
      <c r="X60" s="66"/>
      <c r="Y60" s="66"/>
      <c r="Z60" s="66"/>
      <c r="AA60" s="66"/>
      <c r="AB60" s="66"/>
      <c r="AC60" s="67"/>
      <c r="AD60" s="58"/>
      <c r="AE60" s="58"/>
      <c r="AF60" s="58" t="s">
        <v>263</v>
      </c>
      <c r="AG60" s="58" t="s">
        <v>263</v>
      </c>
      <c r="AH60" s="58" t="s">
        <v>263</v>
      </c>
      <c r="AI60" s="58" t="s">
        <v>263</v>
      </c>
      <c r="AJ60" s="58" t="s">
        <v>263</v>
      </c>
      <c r="AK60" s="58" t="s">
        <v>263</v>
      </c>
      <c r="AL60" s="58" t="s">
        <v>263</v>
      </c>
      <c r="AM60" s="58" t="s">
        <v>263</v>
      </c>
      <c r="AN60" s="58" t="s">
        <v>263</v>
      </c>
      <c r="AO60" s="58" t="s">
        <v>263</v>
      </c>
      <c r="AP60" s="58" t="s">
        <v>263</v>
      </c>
      <c r="AQ60" s="58" t="s">
        <v>263</v>
      </c>
      <c r="AR60" s="58" t="s">
        <v>263</v>
      </c>
      <c r="AS60" s="58" t="s">
        <v>263</v>
      </c>
      <c r="AT60" s="58" t="s">
        <v>263</v>
      </c>
      <c r="AU60" s="58" t="s">
        <v>263</v>
      </c>
      <c r="AV60" s="58" t="s">
        <v>263</v>
      </c>
      <c r="AW60" s="58" t="s">
        <v>263</v>
      </c>
      <c r="AX60" s="58" t="s">
        <v>263</v>
      </c>
      <c r="AY60" s="58" t="s">
        <v>263</v>
      </c>
      <c r="AZ60" s="58" t="s">
        <v>263</v>
      </c>
      <c r="BA60" s="58" t="s">
        <v>263</v>
      </c>
      <c r="BB60" s="58" t="s">
        <v>263</v>
      </c>
      <c r="BC60" s="58" t="s">
        <v>263</v>
      </c>
      <c r="BD60" s="58" t="s">
        <v>263</v>
      </c>
      <c r="BE60" s="58" t="s">
        <v>263</v>
      </c>
      <c r="BF60" s="58" t="s">
        <v>263</v>
      </c>
      <c r="BG60" s="58" t="s">
        <v>263</v>
      </c>
      <c r="BH60" s="58" t="s">
        <v>263</v>
      </c>
      <c r="BI60" s="58" t="s">
        <v>263</v>
      </c>
      <c r="BJ60" s="58" t="s">
        <v>263</v>
      </c>
      <c r="BK60" s="58" t="s">
        <v>263</v>
      </c>
      <c r="BL60" s="58" t="s">
        <v>263</v>
      </c>
      <c r="BM60" s="58" t="s">
        <v>263</v>
      </c>
      <c r="BN60" s="58" t="s">
        <v>263</v>
      </c>
      <c r="BO60" s="58" t="s">
        <v>263</v>
      </c>
      <c r="BP60" s="58" t="s">
        <v>263</v>
      </c>
      <c r="BQ60" s="58" t="s">
        <v>263</v>
      </c>
      <c r="BR60" s="58" t="s">
        <v>263</v>
      </c>
      <c r="BS60" s="58" t="s">
        <v>263</v>
      </c>
      <c r="BT60" s="58" t="s">
        <v>263</v>
      </c>
      <c r="BU60" s="58" t="s">
        <v>263</v>
      </c>
      <c r="BV60" s="58" t="s">
        <v>263</v>
      </c>
      <c r="BW60" s="58" t="s">
        <v>263</v>
      </c>
      <c r="BX60" s="58" t="s">
        <v>263</v>
      </c>
      <c r="BY60" s="58" t="s">
        <v>263</v>
      </c>
      <c r="BZ60" s="58" t="s">
        <v>263</v>
      </c>
      <c r="CA60" s="58" t="s">
        <v>263</v>
      </c>
      <c r="CB60" s="58" t="s">
        <v>263</v>
      </c>
      <c r="CC60" s="58" t="s">
        <v>263</v>
      </c>
      <c r="CD60" s="58" t="s">
        <v>263</v>
      </c>
      <c r="CE60" s="58" t="s">
        <v>263</v>
      </c>
      <c r="CF60" s="58" t="s">
        <v>263</v>
      </c>
      <c r="CG60" s="58" t="s">
        <v>263</v>
      </c>
      <c r="CH60" s="58" t="s">
        <v>263</v>
      </c>
      <c r="CI60" s="58" t="s">
        <v>263</v>
      </c>
      <c r="CJ60" s="58" t="s">
        <v>263</v>
      </c>
      <c r="CK60" s="58" t="s">
        <v>263</v>
      </c>
      <c r="CL60" s="58" t="s">
        <v>263</v>
      </c>
      <c r="CM60" s="58" t="s">
        <v>263</v>
      </c>
      <c r="CN60" s="58" t="s">
        <v>263</v>
      </c>
      <c r="CO60" s="58" t="s">
        <v>263</v>
      </c>
      <c r="CP60" s="58" t="s">
        <v>263</v>
      </c>
      <c r="CQ60" s="58" t="s">
        <v>263</v>
      </c>
      <c r="CR60" s="58" t="s">
        <v>263</v>
      </c>
      <c r="CS60" s="58" t="s">
        <v>263</v>
      </c>
      <c r="CT60" s="58" t="s">
        <v>263</v>
      </c>
      <c r="CU60" s="58" t="s">
        <v>263</v>
      </c>
      <c r="CV60" s="58"/>
      <c r="CW60" s="58"/>
      <c r="CX60" s="58"/>
      <c r="CY60" s="58"/>
      <c r="CZ60" s="58"/>
      <c r="DA60" s="58"/>
      <c r="DB60" s="58"/>
      <c r="DC60" s="58"/>
      <c r="DD60" s="58"/>
      <c r="DE60" s="58"/>
      <c r="DF60" s="58"/>
      <c r="DG60" s="58"/>
      <c r="DH60" s="58"/>
      <c r="DI60" s="58"/>
      <c r="DJ60" s="58"/>
      <c r="DK60" s="58"/>
      <c r="DL60" s="58"/>
      <c r="DM60" s="58"/>
      <c r="DN60" s="58"/>
      <c r="DO60" s="58"/>
      <c r="DP60" s="58"/>
      <c r="DQ60" s="58"/>
      <c r="DR60" s="58"/>
      <c r="DS60" s="58"/>
      <c r="DT60" s="58"/>
      <c r="DU60" s="58"/>
      <c r="DV60" s="58"/>
      <c r="DW60" s="58"/>
      <c r="DX60" s="58"/>
      <c r="DY60" s="58"/>
      <c r="DZ60" s="58"/>
      <c r="EA60" s="58"/>
      <c r="EB60" s="58"/>
      <c r="EC60" s="58"/>
      <c r="ED60" s="58"/>
      <c r="EE60" s="58"/>
      <c r="EF60" s="58"/>
      <c r="EG60" s="58"/>
      <c r="EH60" s="58"/>
      <c r="EI60" s="58"/>
      <c r="EJ60" s="58"/>
      <c r="EK60" s="58"/>
      <c r="EL60" s="58"/>
      <c r="EM60" s="58"/>
      <c r="EN60" s="58"/>
      <c r="EO60" s="58"/>
      <c r="EP60" s="58"/>
      <c r="EQ60" s="58"/>
      <c r="ER60" s="58"/>
      <c r="ES60" s="58"/>
      <c r="ET60" s="58"/>
      <c r="EU60" s="58"/>
      <c r="EV60" s="58"/>
      <c r="EW60" s="58"/>
      <c r="EX60" s="58"/>
      <c r="EY60" s="58"/>
      <c r="EZ60" s="58"/>
      <c r="FA60" s="58"/>
      <c r="FB60" s="58"/>
      <c r="FC60" s="58"/>
      <c r="FD60" s="58"/>
      <c r="FE60" s="58"/>
      <c r="FF60" s="58"/>
      <c r="FG60" s="58"/>
      <c r="FH60" s="58"/>
      <c r="FI60" s="58"/>
      <c r="FJ60" s="58"/>
      <c r="FK60" s="58"/>
      <c r="FL60" s="58"/>
      <c r="FM60" s="58"/>
      <c r="FN60" s="58"/>
      <c r="FO60" s="58"/>
      <c r="FP60" s="58"/>
      <c r="FQ60" s="58"/>
      <c r="FR60" s="58"/>
      <c r="FS60" s="58"/>
      <c r="FT60" s="58"/>
      <c r="FU60" s="58"/>
      <c r="FV60" s="58"/>
      <c r="FW60" s="58"/>
      <c r="FX60" s="58"/>
      <c r="FY60" s="58"/>
      <c r="FZ60" s="58"/>
      <c r="GA60" s="58"/>
      <c r="GB60" s="58"/>
      <c r="GC60" s="58"/>
      <c r="GD60" s="58"/>
      <c r="GE60" s="58"/>
      <c r="GF60" s="58"/>
      <c r="GG60" s="58"/>
      <c r="GH60" s="58"/>
      <c r="GI60" s="58"/>
      <c r="GJ60" s="58"/>
      <c r="GK60" s="58"/>
      <c r="GL60" s="58"/>
      <c r="GM60" s="58"/>
      <c r="GN60" s="58"/>
      <c r="GO60" s="58"/>
      <c r="GP60" s="58"/>
      <c r="GQ60" s="58"/>
      <c r="GR60" s="58"/>
      <c r="GS60" s="58"/>
      <c r="GT60" s="58"/>
      <c r="GU60" s="58"/>
      <c r="GV60" s="58"/>
      <c r="GW60" s="58"/>
      <c r="GX60" s="58"/>
      <c r="GY60" s="58"/>
      <c r="GZ60" s="58"/>
      <c r="HA60" s="58"/>
      <c r="HB60" s="58"/>
      <c r="HC60" s="58"/>
      <c r="HD60" s="58"/>
      <c r="HE60" s="58"/>
      <c r="HF60" s="58"/>
      <c r="HG60" s="58"/>
      <c r="HH60" s="58"/>
      <c r="HI60" s="58"/>
      <c r="HJ60" s="58"/>
      <c r="HK60" s="58"/>
      <c r="HL60" s="58"/>
      <c r="HM60" s="58"/>
      <c r="HN60" s="58"/>
      <c r="HO60" s="58"/>
      <c r="HP60" s="58"/>
      <c r="HQ60" s="58"/>
      <c r="HR60" s="58"/>
      <c r="HS60" s="58"/>
      <c r="HT60" s="58"/>
      <c r="HU60" s="58"/>
      <c r="HV60" s="58"/>
      <c r="HW60" s="58"/>
      <c r="HX60" s="58"/>
      <c r="HY60" s="58"/>
      <c r="HZ60" s="58"/>
      <c r="IA60" s="58"/>
      <c r="IB60" s="58"/>
      <c r="IC60" s="58"/>
      <c r="ID60" s="58"/>
      <c r="IE60" s="58"/>
      <c r="IF60" s="58"/>
      <c r="IG60" s="58"/>
      <c r="IH60" s="58"/>
      <c r="II60" s="58"/>
      <c r="IJ60" s="58"/>
      <c r="IK60" s="58"/>
      <c r="IL60" s="58"/>
      <c r="IM60" s="58"/>
      <c r="IN60" s="58"/>
      <c r="IO60" s="58"/>
      <c r="IP60" s="58"/>
      <c r="IQ60" s="58"/>
      <c r="IR60" s="58"/>
      <c r="IS60" s="58"/>
      <c r="IT60" s="58"/>
      <c r="IU60" s="58"/>
      <c r="IV60" s="58"/>
      <c r="IW60" s="58"/>
      <c r="IX60" s="58"/>
      <c r="IY60" s="58"/>
      <c r="IZ60" s="58"/>
      <c r="JA60" s="58"/>
      <c r="JB60" s="58"/>
      <c r="JC60" s="58"/>
      <c r="JD60" s="58"/>
      <c r="JE60" s="58"/>
      <c r="JF60" s="58"/>
      <c r="JG60" s="58"/>
      <c r="JH60" s="58"/>
      <c r="JI60" s="58"/>
      <c r="JJ60" s="58"/>
      <c r="JK60" s="58"/>
      <c r="JL60" s="58"/>
      <c r="JM60" s="58"/>
      <c r="JN60" s="58"/>
      <c r="JO60" s="58"/>
      <c r="JP60" s="58"/>
      <c r="JQ60" s="58"/>
      <c r="JR60" s="58"/>
      <c r="JS60" s="58"/>
      <c r="JT60" s="58"/>
      <c r="JU60" s="58"/>
      <c r="JV60" s="58"/>
      <c r="JW60" s="58"/>
      <c r="JX60" s="58"/>
      <c r="JY60" s="58"/>
      <c r="JZ60" s="58"/>
      <c r="KA60" s="58"/>
      <c r="KB60" s="58"/>
      <c r="KC60" s="58"/>
      <c r="KD60" s="58"/>
      <c r="KE60" s="58"/>
      <c r="KF60" s="58"/>
      <c r="KG60" s="58"/>
      <c r="KH60" s="58"/>
    </row>
    <row r="61" spans="1:309" s="30" customFormat="1" hidden="1" x14ac:dyDescent="0.3">
      <c r="A61" s="20" t="s">
        <v>627</v>
      </c>
      <c r="B61" s="20" t="s">
        <v>371</v>
      </c>
      <c r="C61" s="20" t="s">
        <v>27</v>
      </c>
      <c r="E61" s="58"/>
      <c r="F61" s="70"/>
      <c r="G61" s="70"/>
      <c r="H61" s="70"/>
      <c r="I61" s="70"/>
      <c r="J61" s="70"/>
      <c r="K61" s="70"/>
      <c r="L61" s="70"/>
      <c r="M61" s="70"/>
      <c r="N61" s="70"/>
      <c r="O61" s="70"/>
      <c r="P61" s="70"/>
      <c r="Q61" s="70"/>
      <c r="R61" s="70"/>
      <c r="S61" s="70"/>
      <c r="T61" s="70"/>
      <c r="U61" s="70"/>
      <c r="V61" s="70"/>
      <c r="W61" s="70"/>
      <c r="X61" s="70"/>
      <c r="Y61" s="70"/>
      <c r="Z61" s="70"/>
      <c r="AA61" s="70"/>
      <c r="AB61" s="70"/>
      <c r="AC61" s="70"/>
      <c r="AD61" s="70"/>
      <c r="AE61" s="70"/>
      <c r="AF61" s="70"/>
      <c r="AG61" s="70"/>
      <c r="AH61" s="58"/>
      <c r="AI61" s="58"/>
      <c r="AJ61" s="58"/>
      <c r="AK61" s="58"/>
      <c r="AL61" s="58"/>
      <c r="AM61" s="58"/>
      <c r="AN61" s="58"/>
      <c r="AO61" s="58"/>
      <c r="AP61" s="58"/>
      <c r="AQ61" s="58"/>
      <c r="AR61" s="58"/>
      <c r="AS61" s="58"/>
      <c r="AT61" s="58"/>
      <c r="AU61" s="58"/>
      <c r="AV61" s="58"/>
      <c r="AW61" s="58"/>
      <c r="AX61" s="58"/>
      <c r="AY61" s="58"/>
      <c r="AZ61" s="58"/>
      <c r="BA61" s="58"/>
      <c r="BB61" s="58"/>
      <c r="BC61" s="58"/>
      <c r="BD61" s="58"/>
      <c r="BE61" s="58"/>
      <c r="BF61" s="58"/>
      <c r="BG61" s="58"/>
      <c r="BH61" s="58"/>
      <c r="BI61" s="58"/>
      <c r="BJ61" s="58"/>
      <c r="BK61" s="58"/>
      <c r="BL61" s="58"/>
      <c r="BM61" s="58"/>
      <c r="BN61" s="58"/>
      <c r="BO61" s="58"/>
      <c r="BP61" s="58"/>
      <c r="BQ61" s="58"/>
      <c r="BR61" s="58"/>
      <c r="BS61" s="58"/>
      <c r="BT61" s="58"/>
      <c r="BU61" s="58"/>
      <c r="BV61" s="58"/>
      <c r="BW61" s="58"/>
      <c r="BX61" s="58"/>
      <c r="BY61" s="58"/>
      <c r="BZ61" s="58"/>
      <c r="CA61" s="58"/>
      <c r="CB61" s="58"/>
      <c r="CC61" s="58"/>
      <c r="CD61" s="58"/>
      <c r="CE61" s="58"/>
      <c r="CF61" s="58"/>
      <c r="CG61" s="58"/>
      <c r="CH61" s="58"/>
      <c r="CI61" s="58"/>
      <c r="CJ61" s="58"/>
      <c r="CK61" s="58"/>
      <c r="CL61" s="58"/>
      <c r="CM61" s="58"/>
      <c r="CN61" s="58"/>
      <c r="CO61" s="58"/>
      <c r="CP61" s="58"/>
      <c r="CQ61" s="58"/>
      <c r="CR61" s="58"/>
      <c r="CS61" s="58"/>
      <c r="CT61" s="58"/>
      <c r="CU61" s="58"/>
      <c r="CV61" s="58"/>
      <c r="CW61" s="58"/>
      <c r="CX61" s="58"/>
      <c r="CY61" s="58"/>
      <c r="CZ61" s="58"/>
      <c r="DA61" s="58"/>
      <c r="DB61" s="58"/>
      <c r="DC61" s="58"/>
      <c r="DD61" s="58"/>
      <c r="DE61" s="58"/>
      <c r="DF61" s="58"/>
      <c r="DG61" s="58"/>
      <c r="DH61" s="58"/>
      <c r="DI61" s="58"/>
      <c r="DJ61" s="58"/>
      <c r="DK61" s="58"/>
      <c r="DL61" s="58"/>
      <c r="DM61" s="58"/>
      <c r="DN61" s="58"/>
      <c r="DO61" s="58"/>
      <c r="DP61" s="58"/>
      <c r="DQ61" s="58"/>
      <c r="DR61" s="58"/>
      <c r="DS61" s="58"/>
      <c r="DT61" s="58"/>
      <c r="DU61" s="58"/>
      <c r="DV61" s="58"/>
      <c r="DW61" s="58"/>
      <c r="DX61" s="58"/>
      <c r="DY61" s="58"/>
      <c r="DZ61" s="58"/>
      <c r="EA61" s="58"/>
      <c r="EB61" s="58"/>
      <c r="EC61" s="58"/>
      <c r="ED61" s="58"/>
      <c r="EE61" s="58"/>
      <c r="EF61" s="58"/>
      <c r="EG61" s="58"/>
      <c r="EH61" s="58"/>
      <c r="EI61" s="58"/>
      <c r="EJ61" s="58"/>
      <c r="EK61" s="58"/>
      <c r="EL61" s="58"/>
      <c r="EM61" s="58"/>
      <c r="EN61" s="58"/>
      <c r="EO61" s="58"/>
      <c r="EP61" s="58"/>
      <c r="EQ61" s="58"/>
      <c r="ER61" s="58"/>
      <c r="ES61" s="58"/>
      <c r="ET61" s="58"/>
      <c r="EU61" s="58"/>
      <c r="EV61" s="58"/>
      <c r="EW61" s="58"/>
      <c r="EX61" s="58"/>
      <c r="EY61" s="58"/>
      <c r="EZ61" s="58"/>
      <c r="FA61" s="58"/>
      <c r="FB61" s="58"/>
      <c r="FC61" s="58"/>
      <c r="FD61" s="58"/>
      <c r="FE61" s="58"/>
      <c r="FF61" s="58"/>
      <c r="FG61" s="58"/>
      <c r="FH61" s="58"/>
      <c r="FI61" s="58"/>
      <c r="FJ61" s="58"/>
      <c r="FK61" s="58"/>
      <c r="FL61" s="58"/>
      <c r="FM61" s="58"/>
      <c r="FN61" s="58"/>
      <c r="FO61" s="58"/>
      <c r="FP61" s="58"/>
      <c r="FQ61" s="58"/>
      <c r="FR61" s="58"/>
      <c r="FS61" s="58"/>
      <c r="FT61" s="58"/>
      <c r="FU61" s="58"/>
      <c r="FV61" s="58"/>
      <c r="FW61" s="58"/>
      <c r="FX61" s="58"/>
      <c r="FY61" s="58"/>
      <c r="FZ61" s="58"/>
      <c r="GA61" s="58"/>
      <c r="GB61" s="58"/>
      <c r="GC61" s="58"/>
      <c r="GD61" s="58"/>
      <c r="GE61" s="58"/>
      <c r="GF61" s="58"/>
      <c r="GG61" s="58"/>
      <c r="GH61" s="58"/>
      <c r="GI61" s="58"/>
      <c r="GJ61" s="58"/>
      <c r="GK61" s="58"/>
      <c r="GL61" s="58"/>
      <c r="GM61" s="58"/>
      <c r="GN61" s="58"/>
      <c r="GO61" s="58"/>
      <c r="GP61" s="58"/>
      <c r="GQ61" s="58"/>
      <c r="GR61" s="58"/>
      <c r="GS61" s="58"/>
      <c r="GT61" s="58"/>
      <c r="GU61" s="58"/>
      <c r="GV61" s="58"/>
      <c r="GW61" s="58"/>
      <c r="GX61" s="58"/>
      <c r="GY61" s="58"/>
      <c r="GZ61" s="58"/>
      <c r="HA61" s="58"/>
      <c r="HB61" s="58"/>
      <c r="HC61" s="58"/>
      <c r="HD61" s="58"/>
      <c r="HE61" s="58"/>
      <c r="HF61" s="58"/>
      <c r="HG61" s="58"/>
      <c r="HH61" s="58"/>
      <c r="HI61" s="58"/>
      <c r="HJ61" s="58"/>
      <c r="HK61" s="58"/>
      <c r="HL61" s="58"/>
      <c r="HM61" s="58"/>
      <c r="HN61" s="58"/>
      <c r="HO61" s="58"/>
      <c r="HP61" s="58"/>
      <c r="HQ61" s="58"/>
      <c r="HR61" s="58"/>
      <c r="HS61" s="58"/>
      <c r="HT61" s="58"/>
      <c r="HU61" s="58"/>
      <c r="HV61" s="58"/>
      <c r="HW61" s="58"/>
      <c r="HX61" s="58"/>
      <c r="HY61" s="58"/>
      <c r="HZ61" s="58"/>
      <c r="IA61" s="58"/>
      <c r="IB61" s="58"/>
      <c r="IC61" s="58"/>
      <c r="ID61" s="58"/>
      <c r="IE61" s="58"/>
      <c r="IF61" s="58"/>
    </row>
    <row r="62" spans="1:309" s="30" customFormat="1" ht="15" hidden="1" thickBot="1" x14ac:dyDescent="0.35">
      <c r="A62" s="78" t="s">
        <v>627</v>
      </c>
      <c r="B62" s="78" t="s">
        <v>57</v>
      </c>
      <c r="C62" s="78" t="s">
        <v>25</v>
      </c>
      <c r="E62" s="58"/>
      <c r="F62" s="58"/>
      <c r="G62" s="58"/>
      <c r="H62" s="58"/>
      <c r="I62" s="58"/>
      <c r="J62" s="58"/>
      <c r="K62" s="58"/>
      <c r="L62" s="79"/>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c r="BA62" s="58"/>
      <c r="BB62" s="58"/>
      <c r="BC62" s="58"/>
      <c r="BD62" s="58"/>
      <c r="BE62" s="58"/>
      <c r="BF62" s="58"/>
      <c r="BG62" s="58"/>
      <c r="BH62" s="58"/>
      <c r="BI62" s="58"/>
      <c r="BJ62" s="58"/>
      <c r="BK62" s="58"/>
      <c r="BL62" s="68"/>
      <c r="BM62" s="66"/>
      <c r="BN62" s="66"/>
      <c r="BO62" s="66"/>
      <c r="BP62" s="66"/>
      <c r="BQ62" s="66"/>
      <c r="BR62" s="66"/>
      <c r="BS62" s="66"/>
      <c r="BT62" s="66"/>
      <c r="BU62" s="66"/>
      <c r="BV62" s="67"/>
      <c r="BW62" s="58"/>
      <c r="BX62" s="58"/>
      <c r="BY62" s="58"/>
      <c r="BZ62" s="58"/>
      <c r="CA62" s="58"/>
      <c r="CB62" s="58"/>
      <c r="CC62" s="58"/>
      <c r="CD62" s="58"/>
      <c r="CE62" s="58"/>
      <c r="CF62" s="58"/>
      <c r="CG62" s="58"/>
      <c r="CH62" s="58"/>
      <c r="CI62" s="58"/>
      <c r="CJ62" s="58"/>
      <c r="CK62" s="58"/>
      <c r="CL62" s="58"/>
      <c r="CM62" s="58"/>
      <c r="CN62" s="58"/>
      <c r="CO62" s="58"/>
      <c r="CP62" s="58"/>
      <c r="CQ62" s="58"/>
      <c r="CR62" s="58"/>
      <c r="CS62" s="58"/>
      <c r="CT62" s="58"/>
      <c r="CU62" s="58"/>
      <c r="CV62" s="58"/>
      <c r="CW62" s="58"/>
      <c r="CX62" s="58"/>
      <c r="CY62" s="58"/>
      <c r="CZ62" s="58"/>
      <c r="DA62" s="58"/>
      <c r="DB62" s="58"/>
      <c r="DC62" s="58"/>
      <c r="DD62" s="58"/>
      <c r="DE62" s="58"/>
      <c r="DF62" s="58"/>
      <c r="DG62" s="58"/>
      <c r="DH62" s="58"/>
      <c r="DI62" s="58"/>
      <c r="DJ62" s="58"/>
      <c r="DK62" s="58"/>
      <c r="DL62" s="58"/>
      <c r="DM62" s="58"/>
      <c r="DN62" s="58"/>
      <c r="DO62" s="58"/>
      <c r="DP62" s="58"/>
      <c r="DQ62" s="58"/>
      <c r="DR62" s="58"/>
      <c r="DS62" s="58"/>
      <c r="DT62" s="58"/>
      <c r="DU62" s="58"/>
      <c r="DV62" s="58"/>
      <c r="DW62" s="58"/>
      <c r="DX62" s="58"/>
      <c r="DY62" s="58"/>
      <c r="DZ62" s="58"/>
      <c r="EA62" s="58"/>
      <c r="EB62" s="58"/>
      <c r="EC62" s="58"/>
      <c r="ED62" s="58"/>
      <c r="EE62" s="58"/>
      <c r="EF62" s="58"/>
      <c r="EG62" s="58"/>
      <c r="EH62" s="58"/>
      <c r="EI62" s="58"/>
      <c r="EJ62" s="58"/>
      <c r="EK62" s="58"/>
      <c r="EL62" s="58"/>
      <c r="EM62" s="58"/>
      <c r="EN62" s="58"/>
      <c r="EO62" s="58"/>
      <c r="EP62" s="58"/>
      <c r="EQ62" s="58"/>
      <c r="ER62" s="58"/>
      <c r="ES62" s="58"/>
      <c r="ET62" s="58"/>
      <c r="EU62" s="58"/>
      <c r="EV62" s="58"/>
      <c r="EW62" s="58"/>
      <c r="EX62" s="58"/>
      <c r="EY62" s="58"/>
      <c r="EZ62" s="58"/>
      <c r="FA62" s="58"/>
      <c r="FB62" s="58"/>
      <c r="FC62" s="58"/>
      <c r="FD62" s="58"/>
      <c r="FE62" s="58"/>
      <c r="FF62" s="58"/>
      <c r="FG62" s="58"/>
      <c r="FH62" s="58"/>
      <c r="FI62" s="58"/>
      <c r="FJ62" s="58"/>
      <c r="FK62" s="58"/>
      <c r="FL62" s="58"/>
      <c r="FM62" s="58"/>
      <c r="FN62" s="58"/>
      <c r="FO62" s="58"/>
      <c r="FP62" s="58"/>
      <c r="FQ62" s="58"/>
      <c r="FR62" s="58"/>
      <c r="FS62" s="58"/>
      <c r="FT62" s="58"/>
      <c r="FU62" s="58"/>
      <c r="FV62" s="58"/>
      <c r="FW62" s="58"/>
      <c r="FX62" s="58"/>
      <c r="FY62" s="58"/>
      <c r="FZ62" s="58"/>
      <c r="GA62" s="58"/>
      <c r="GB62" s="58"/>
      <c r="GC62" s="58"/>
      <c r="GD62" s="58"/>
      <c r="GE62" s="58"/>
      <c r="GF62" s="58"/>
      <c r="GG62" s="58"/>
      <c r="GH62" s="58"/>
      <c r="GI62" s="58"/>
      <c r="GJ62" s="58"/>
      <c r="GK62" s="58"/>
      <c r="GL62" s="58"/>
      <c r="GM62" s="58"/>
      <c r="GN62" s="58"/>
      <c r="GO62" s="58"/>
      <c r="GP62" s="58"/>
      <c r="GQ62" s="58"/>
      <c r="GR62" s="58"/>
      <c r="GS62" s="58"/>
      <c r="GT62" s="58"/>
      <c r="GU62" s="58"/>
      <c r="GV62" s="58"/>
      <c r="GW62" s="58"/>
      <c r="GX62" s="58"/>
      <c r="GY62" s="58"/>
      <c r="GZ62" s="58"/>
      <c r="HA62" s="58"/>
      <c r="HB62" s="58"/>
      <c r="HC62" s="58"/>
      <c r="HD62" s="58"/>
      <c r="HE62" s="58"/>
      <c r="HF62" s="58"/>
      <c r="HG62" s="58"/>
      <c r="HH62" s="58"/>
      <c r="HI62" s="58"/>
      <c r="HJ62" s="58"/>
      <c r="HK62" s="58"/>
      <c r="HL62" s="58"/>
      <c r="HM62" s="58"/>
      <c r="HN62" s="58"/>
      <c r="HO62" s="58"/>
      <c r="HP62" s="58"/>
      <c r="HQ62" s="58"/>
      <c r="HR62" s="58"/>
      <c r="HS62" s="58"/>
      <c r="HT62" s="58"/>
      <c r="HU62" s="58"/>
      <c r="HV62" s="58"/>
      <c r="HW62" s="58"/>
      <c r="HX62" s="58"/>
      <c r="HY62" s="58"/>
      <c r="HZ62" s="58"/>
      <c r="IA62" s="58"/>
      <c r="IB62" s="58"/>
      <c r="IC62" s="58"/>
      <c r="ID62" s="58"/>
      <c r="IE62" s="58"/>
      <c r="IF62" s="58"/>
      <c r="IG62" s="58"/>
      <c r="IH62" s="58"/>
      <c r="II62" s="58"/>
      <c r="IJ62" s="58"/>
      <c r="IK62" s="58"/>
      <c r="IL62" s="58"/>
      <c r="IM62" s="58"/>
      <c r="KO62" s="84"/>
      <c r="KP62" s="85"/>
      <c r="KQ62" s="85"/>
      <c r="KR62" s="85"/>
      <c r="KS62" s="85"/>
      <c r="KT62" s="85"/>
      <c r="KU62" s="85"/>
      <c r="KV62" s="85"/>
      <c r="KW62" s="86"/>
    </row>
    <row r="63" spans="1:309" s="30" customFormat="1" ht="15" hidden="1" thickBot="1" x14ac:dyDescent="0.35">
      <c r="A63" s="78" t="s">
        <v>627</v>
      </c>
      <c r="B63" s="78" t="s">
        <v>57</v>
      </c>
      <c r="C63" s="78" t="s">
        <v>25</v>
      </c>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79"/>
      <c r="AH63" s="58"/>
      <c r="AI63" s="58"/>
      <c r="AJ63" s="58"/>
      <c r="AK63" s="58"/>
      <c r="AL63" s="58"/>
      <c r="AM63" s="58"/>
      <c r="AN63" s="58"/>
      <c r="AO63" s="58"/>
      <c r="AP63" s="58"/>
      <c r="AQ63" s="58"/>
      <c r="AR63" s="58"/>
      <c r="AS63" s="58"/>
      <c r="AT63" s="58"/>
      <c r="AU63" s="58"/>
      <c r="AV63" s="58"/>
      <c r="AW63" s="58"/>
      <c r="AX63" s="58"/>
      <c r="AY63" s="58"/>
      <c r="AZ63" s="58"/>
      <c r="BA63" s="58"/>
      <c r="BB63" s="58"/>
      <c r="BC63" s="58"/>
      <c r="BD63" s="58"/>
      <c r="BE63" s="58"/>
      <c r="BF63" s="58"/>
      <c r="BG63" s="58"/>
      <c r="BH63" s="58"/>
      <c r="BI63" s="58"/>
      <c r="BJ63" s="58"/>
      <c r="BK63" s="58"/>
      <c r="BL63" s="68"/>
      <c r="BM63" s="66"/>
      <c r="BN63" s="66"/>
      <c r="BO63" s="66"/>
      <c r="BP63" s="66"/>
      <c r="BQ63" s="66"/>
      <c r="BR63" s="66"/>
      <c r="BS63" s="66"/>
      <c r="BT63" s="66"/>
      <c r="BU63" s="66"/>
      <c r="BV63" s="67"/>
      <c r="BW63" s="58"/>
      <c r="BX63" s="58"/>
      <c r="BY63" s="58"/>
      <c r="BZ63" s="58"/>
      <c r="CA63" s="58"/>
      <c r="CB63" s="58"/>
      <c r="CC63" s="58"/>
      <c r="CD63" s="58"/>
      <c r="CE63" s="58"/>
      <c r="CF63" s="58"/>
      <c r="CG63" s="58"/>
      <c r="CH63" s="58"/>
      <c r="CI63" s="58"/>
      <c r="CJ63" s="58"/>
      <c r="CK63" s="58"/>
      <c r="CL63" s="58"/>
      <c r="CM63" s="58"/>
      <c r="CN63" s="58"/>
      <c r="CO63" s="58"/>
      <c r="CP63" s="58"/>
      <c r="CQ63" s="58"/>
      <c r="CR63" s="58"/>
      <c r="CS63" s="58"/>
      <c r="CT63" s="58"/>
      <c r="CU63" s="58"/>
      <c r="CV63" s="58"/>
      <c r="CW63" s="58"/>
      <c r="CX63" s="58"/>
      <c r="CY63" s="58"/>
      <c r="CZ63" s="58"/>
      <c r="DA63" s="58"/>
      <c r="DB63" s="58"/>
      <c r="DC63" s="58"/>
      <c r="DD63" s="58"/>
      <c r="DE63" s="58"/>
      <c r="DF63" s="58"/>
      <c r="DG63" s="58"/>
      <c r="DH63" s="58"/>
      <c r="DI63" s="58"/>
      <c r="DJ63" s="58"/>
      <c r="DK63" s="58"/>
      <c r="DL63" s="58"/>
      <c r="DM63" s="58"/>
      <c r="DN63" s="58"/>
      <c r="DO63" s="58"/>
      <c r="DP63" s="58"/>
      <c r="DQ63" s="58"/>
      <c r="DR63" s="58"/>
      <c r="DS63" s="58"/>
      <c r="DT63" s="58"/>
      <c r="DU63" s="58"/>
      <c r="DV63" s="58"/>
      <c r="DW63" s="58"/>
      <c r="DX63" s="58"/>
      <c r="DY63" s="58"/>
      <c r="DZ63" s="58"/>
      <c r="EA63" s="58"/>
      <c r="EB63" s="58"/>
      <c r="EC63" s="58"/>
      <c r="ED63" s="58"/>
      <c r="EE63" s="58"/>
      <c r="EF63" s="58"/>
      <c r="EG63" s="58"/>
      <c r="EH63" s="58"/>
      <c r="EI63" s="58"/>
      <c r="EJ63" s="58"/>
      <c r="EK63" s="58"/>
      <c r="EL63" s="58"/>
      <c r="EM63" s="58"/>
      <c r="EN63" s="58"/>
      <c r="EO63" s="58"/>
      <c r="EP63" s="58"/>
      <c r="EQ63" s="58"/>
      <c r="ER63" s="58"/>
      <c r="ES63" s="58"/>
      <c r="ET63" s="58"/>
      <c r="EU63" s="58"/>
      <c r="EV63" s="58"/>
      <c r="EW63" s="58"/>
      <c r="EX63" s="58"/>
      <c r="EY63" s="58"/>
      <c r="EZ63" s="58"/>
      <c r="FA63" s="58"/>
      <c r="FB63" s="58"/>
      <c r="FC63" s="58"/>
      <c r="FD63" s="58"/>
      <c r="FE63" s="58"/>
      <c r="FF63" s="58"/>
      <c r="FG63" s="58"/>
      <c r="FH63" s="58"/>
      <c r="FI63" s="58"/>
      <c r="FJ63" s="58"/>
      <c r="FK63" s="58"/>
      <c r="FL63" s="58"/>
      <c r="FM63" s="58"/>
      <c r="FN63" s="58"/>
      <c r="FO63" s="58"/>
      <c r="FP63" s="58"/>
      <c r="FQ63" s="58"/>
      <c r="FR63" s="58"/>
      <c r="FS63" s="58"/>
      <c r="FT63" s="58"/>
      <c r="FU63" s="58"/>
      <c r="FV63" s="58"/>
      <c r="FW63" s="58"/>
      <c r="FX63" s="58"/>
      <c r="FY63" s="58"/>
      <c r="FZ63" s="58"/>
      <c r="GA63" s="58"/>
      <c r="GB63" s="58"/>
      <c r="GC63" s="58"/>
      <c r="GD63" s="58"/>
      <c r="GE63" s="58"/>
      <c r="GF63" s="58"/>
      <c r="GG63" s="58"/>
      <c r="GH63" s="58"/>
      <c r="GI63" s="58"/>
      <c r="GJ63" s="58"/>
      <c r="GK63" s="58"/>
      <c r="GL63" s="58"/>
      <c r="GM63" s="58"/>
      <c r="GN63" s="58"/>
      <c r="GO63" s="58"/>
      <c r="GP63" s="58"/>
      <c r="GQ63" s="58"/>
      <c r="GR63" s="58"/>
      <c r="GS63" s="58"/>
      <c r="GT63" s="58"/>
      <c r="GU63" s="58"/>
      <c r="GV63" s="58"/>
      <c r="GW63" s="58"/>
      <c r="GX63" s="58"/>
      <c r="GY63" s="58"/>
      <c r="GZ63" s="58"/>
      <c r="HA63" s="58"/>
      <c r="HB63" s="58"/>
      <c r="HC63" s="58"/>
      <c r="HD63" s="58"/>
      <c r="HE63" s="58"/>
      <c r="HF63" s="58"/>
      <c r="HG63" s="58"/>
      <c r="HH63" s="58"/>
      <c r="HI63" s="58"/>
      <c r="HJ63" s="58"/>
      <c r="HK63" s="58"/>
      <c r="HL63" s="58"/>
      <c r="HM63" s="58"/>
      <c r="HN63" s="58"/>
      <c r="HO63" s="58"/>
      <c r="HP63" s="58"/>
      <c r="HQ63" s="58"/>
      <c r="HR63" s="58"/>
      <c r="HS63" s="58"/>
      <c r="HT63" s="58"/>
      <c r="HU63" s="58"/>
      <c r="HV63" s="58"/>
      <c r="HW63" s="58"/>
      <c r="HX63" s="58"/>
      <c r="HY63" s="58"/>
      <c r="HZ63" s="58"/>
      <c r="IA63" s="58"/>
      <c r="IB63" s="58"/>
      <c r="IC63" s="58"/>
      <c r="ID63" s="58"/>
      <c r="IE63" s="58"/>
      <c r="IF63" s="58"/>
      <c r="IG63" s="58"/>
      <c r="IH63" s="58"/>
      <c r="II63" s="58"/>
      <c r="IJ63" s="58"/>
      <c r="IK63" s="58"/>
      <c r="IL63" s="58"/>
      <c r="IM63" s="58"/>
      <c r="IN63" s="58"/>
      <c r="IO63" s="58"/>
      <c r="IP63" s="58"/>
      <c r="IQ63" s="58"/>
      <c r="IR63" s="58"/>
      <c r="IS63" s="58"/>
      <c r="IT63" s="58"/>
      <c r="IU63" s="58"/>
      <c r="IV63" s="58"/>
      <c r="IW63" s="58"/>
      <c r="IX63" s="58"/>
      <c r="IY63" s="58"/>
      <c r="IZ63" s="58"/>
      <c r="JA63" s="58"/>
      <c r="JB63" s="58"/>
      <c r="JC63" s="58"/>
      <c r="JD63" s="58"/>
      <c r="JE63" s="58"/>
      <c r="JF63" s="58"/>
      <c r="JG63" s="58"/>
      <c r="JH63" s="58"/>
      <c r="JI63" s="58"/>
      <c r="JJ63" s="58"/>
      <c r="JK63" s="58"/>
      <c r="JL63" s="58"/>
      <c r="JM63" s="58"/>
      <c r="JN63" s="58"/>
      <c r="JO63" s="58"/>
      <c r="JP63" s="58"/>
      <c r="JQ63" s="58"/>
      <c r="JR63" s="58"/>
      <c r="JS63" s="58"/>
      <c r="JT63" s="58"/>
      <c r="JU63" s="58"/>
      <c r="JV63" s="58"/>
      <c r="JW63" s="58"/>
      <c r="JX63" s="58"/>
      <c r="JY63" s="58"/>
      <c r="JZ63" s="58"/>
      <c r="KA63" s="58"/>
      <c r="KB63" s="58"/>
      <c r="KC63" s="58"/>
      <c r="KD63" s="58"/>
      <c r="KE63" s="58"/>
      <c r="KF63" s="58"/>
      <c r="KG63" s="58"/>
      <c r="KH63" s="58"/>
      <c r="KO63" s="84"/>
      <c r="KP63" s="85"/>
      <c r="KQ63" s="85"/>
      <c r="KR63" s="85"/>
      <c r="KS63" s="85"/>
      <c r="KT63" s="85"/>
      <c r="KU63" s="85"/>
      <c r="KV63" s="85"/>
      <c r="KW63" s="86"/>
    </row>
    <row r="64" spans="1:309" s="30" customFormat="1" ht="15" hidden="1" thickBot="1" x14ac:dyDescent="0.35">
      <c r="A64" s="19" t="s">
        <v>624</v>
      </c>
      <c r="B64" s="19" t="s">
        <v>55</v>
      </c>
      <c r="C64" s="19" t="s">
        <v>22</v>
      </c>
      <c r="E64" s="59"/>
      <c r="F64" s="72"/>
      <c r="G64" s="72"/>
      <c r="H64" s="72"/>
      <c r="I64" s="58"/>
      <c r="J64" s="58"/>
      <c r="K64" s="58"/>
      <c r="L64" s="58"/>
      <c r="M64" s="68"/>
      <c r="N64" s="66"/>
      <c r="O64" s="66"/>
      <c r="P64" s="66"/>
      <c r="Q64" s="66"/>
      <c r="R64" s="67"/>
      <c r="S64" s="68"/>
      <c r="T64" s="66"/>
      <c r="U64" s="66"/>
      <c r="V64" s="66"/>
      <c r="W64" s="66"/>
      <c r="X64" s="66"/>
      <c r="Y64" s="66"/>
      <c r="Z64" s="66"/>
      <c r="AA64" s="66"/>
      <c r="AB64" s="66"/>
      <c r="AC64" s="67"/>
      <c r="AD64" s="58"/>
      <c r="AE64" s="58"/>
      <c r="AF64" s="58" t="s">
        <v>263</v>
      </c>
      <c r="AG64" s="58" t="s">
        <v>263</v>
      </c>
      <c r="AH64" s="58" t="s">
        <v>263</v>
      </c>
      <c r="AI64" s="58" t="s">
        <v>263</v>
      </c>
      <c r="AJ64" s="58" t="s">
        <v>263</v>
      </c>
      <c r="AK64" s="58" t="s">
        <v>263</v>
      </c>
      <c r="AL64" s="58" t="s">
        <v>263</v>
      </c>
      <c r="AM64" s="58" t="s">
        <v>263</v>
      </c>
      <c r="AN64" s="58" t="s">
        <v>263</v>
      </c>
      <c r="AO64" s="58" t="s">
        <v>263</v>
      </c>
      <c r="AP64" s="58" t="s">
        <v>263</v>
      </c>
      <c r="AQ64" s="58" t="s">
        <v>263</v>
      </c>
      <c r="AR64" s="58" t="s">
        <v>263</v>
      </c>
      <c r="AS64" s="58" t="s">
        <v>263</v>
      </c>
      <c r="AT64" s="58" t="s">
        <v>263</v>
      </c>
      <c r="AU64" s="58" t="s">
        <v>263</v>
      </c>
      <c r="AV64" s="58" t="s">
        <v>263</v>
      </c>
      <c r="AW64" s="58" t="s">
        <v>263</v>
      </c>
      <c r="AX64" s="58" t="s">
        <v>263</v>
      </c>
      <c r="AY64" s="58" t="s">
        <v>263</v>
      </c>
      <c r="AZ64" s="58" t="s">
        <v>263</v>
      </c>
      <c r="BA64" s="58" t="s">
        <v>263</v>
      </c>
      <c r="BB64" s="58" t="s">
        <v>263</v>
      </c>
      <c r="BC64" s="58" t="s">
        <v>263</v>
      </c>
      <c r="BD64" s="58" t="s">
        <v>263</v>
      </c>
      <c r="BE64" s="58" t="s">
        <v>263</v>
      </c>
      <c r="BF64" s="58" t="s">
        <v>263</v>
      </c>
      <c r="BG64" s="58" t="s">
        <v>263</v>
      </c>
      <c r="BH64" s="58" t="s">
        <v>263</v>
      </c>
      <c r="BI64" s="58" t="s">
        <v>263</v>
      </c>
      <c r="BJ64" s="58" t="s">
        <v>263</v>
      </c>
      <c r="BK64" s="58" t="s">
        <v>263</v>
      </c>
      <c r="BL64" s="58" t="s">
        <v>263</v>
      </c>
      <c r="BM64" s="58" t="s">
        <v>263</v>
      </c>
      <c r="BN64" s="58" t="s">
        <v>263</v>
      </c>
      <c r="BO64" s="58" t="s">
        <v>263</v>
      </c>
      <c r="BP64" s="58" t="s">
        <v>263</v>
      </c>
      <c r="BQ64" s="58" t="s">
        <v>263</v>
      </c>
      <c r="BR64" s="58" t="s">
        <v>263</v>
      </c>
      <c r="BS64" s="58" t="s">
        <v>263</v>
      </c>
      <c r="BT64" s="58" t="s">
        <v>263</v>
      </c>
      <c r="BU64" s="58" t="s">
        <v>263</v>
      </c>
      <c r="BV64" s="58" t="s">
        <v>263</v>
      </c>
      <c r="BW64" s="58" t="s">
        <v>263</v>
      </c>
      <c r="BX64" s="58" t="s">
        <v>263</v>
      </c>
      <c r="BY64" s="58" t="s">
        <v>263</v>
      </c>
      <c r="BZ64" s="58" t="s">
        <v>263</v>
      </c>
      <c r="CA64" s="58" t="s">
        <v>263</v>
      </c>
      <c r="CB64" s="58" t="s">
        <v>263</v>
      </c>
      <c r="CC64" s="58" t="s">
        <v>263</v>
      </c>
      <c r="CD64" s="58" t="s">
        <v>263</v>
      </c>
      <c r="CE64" s="58" t="s">
        <v>263</v>
      </c>
      <c r="CF64" s="58" t="s">
        <v>263</v>
      </c>
      <c r="CG64" s="58" t="s">
        <v>263</v>
      </c>
      <c r="CH64" s="58" t="s">
        <v>263</v>
      </c>
      <c r="CI64" s="58" t="s">
        <v>263</v>
      </c>
      <c r="CJ64" s="58" t="s">
        <v>263</v>
      </c>
      <c r="CK64" s="58" t="s">
        <v>263</v>
      </c>
      <c r="CL64" s="58" t="s">
        <v>263</v>
      </c>
      <c r="CM64" s="58" t="s">
        <v>263</v>
      </c>
      <c r="CN64" s="58" t="s">
        <v>263</v>
      </c>
      <c r="CO64" s="58" t="s">
        <v>263</v>
      </c>
      <c r="CP64" s="58" t="s">
        <v>263</v>
      </c>
      <c r="CQ64" s="58" t="s">
        <v>263</v>
      </c>
      <c r="CR64" s="58" t="s">
        <v>263</v>
      </c>
      <c r="CS64" s="58" t="s">
        <v>263</v>
      </c>
      <c r="CT64" s="58" t="s">
        <v>263</v>
      </c>
      <c r="CU64" s="58" t="s">
        <v>263</v>
      </c>
      <c r="CV64" s="58"/>
      <c r="CW64" s="58"/>
      <c r="CX64" s="58"/>
      <c r="CY64" s="58"/>
      <c r="CZ64" s="58"/>
      <c r="DA64" s="58"/>
      <c r="DB64" s="58"/>
      <c r="DC64" s="58"/>
      <c r="DD64" s="58"/>
      <c r="DE64" s="58"/>
      <c r="DF64" s="58"/>
      <c r="DG64" s="58"/>
      <c r="DH64" s="58"/>
      <c r="DI64" s="58"/>
      <c r="DJ64" s="58"/>
      <c r="DK64" s="58"/>
      <c r="DL64" s="58"/>
      <c r="DM64" s="58"/>
      <c r="DN64" s="58"/>
      <c r="DO64" s="58"/>
      <c r="DP64" s="58"/>
      <c r="DQ64" s="58"/>
      <c r="DR64" s="58"/>
      <c r="DS64" s="58"/>
      <c r="DT64" s="58"/>
      <c r="DU64" s="58"/>
      <c r="DV64" s="58"/>
      <c r="DW64" s="58"/>
      <c r="DX64" s="58"/>
      <c r="DY64" s="58"/>
      <c r="DZ64" s="58"/>
      <c r="EA64" s="58"/>
      <c r="EB64" s="58"/>
      <c r="EC64" s="58"/>
      <c r="ED64" s="58"/>
      <c r="EE64" s="58"/>
      <c r="EF64" s="58"/>
      <c r="EG64" s="58"/>
      <c r="EH64" s="58"/>
      <c r="EI64" s="58"/>
      <c r="EJ64" s="58"/>
      <c r="EK64" s="58"/>
      <c r="EL64" s="58"/>
      <c r="EM64" s="58"/>
      <c r="EN64" s="58"/>
      <c r="EO64" s="58"/>
      <c r="EP64" s="58"/>
      <c r="EQ64" s="58"/>
      <c r="ER64" s="58"/>
      <c r="ES64" s="58"/>
      <c r="ET64" s="58"/>
      <c r="EU64" s="58"/>
      <c r="EV64" s="58"/>
      <c r="EW64" s="58"/>
      <c r="EX64" s="58"/>
      <c r="EY64" s="58"/>
      <c r="EZ64" s="58"/>
      <c r="FA64" s="58"/>
      <c r="FB64" s="58"/>
      <c r="FC64" s="58"/>
      <c r="FD64" s="58"/>
      <c r="FE64" s="58"/>
      <c r="FF64" s="58"/>
      <c r="FG64" s="58"/>
      <c r="FH64" s="58"/>
      <c r="FI64" s="58"/>
      <c r="FJ64" s="58"/>
      <c r="FK64" s="58"/>
      <c r="FL64" s="58"/>
      <c r="FM64" s="58"/>
      <c r="FN64" s="58"/>
      <c r="FO64" s="58"/>
      <c r="FP64" s="58"/>
      <c r="FQ64" s="58"/>
      <c r="FR64" s="58"/>
      <c r="FS64" s="58"/>
      <c r="FT64" s="58"/>
      <c r="FU64" s="58"/>
      <c r="FV64" s="58"/>
      <c r="FW64" s="58"/>
      <c r="FX64" s="58"/>
      <c r="FY64" s="58"/>
      <c r="FZ64" s="58"/>
      <c r="GA64" s="58"/>
      <c r="GB64" s="58"/>
      <c r="GC64" s="58"/>
      <c r="GD64" s="58"/>
      <c r="GE64" s="58"/>
      <c r="GF64" s="58"/>
      <c r="GG64" s="58"/>
      <c r="GH64" s="58"/>
      <c r="GI64" s="58"/>
      <c r="GJ64" s="58"/>
      <c r="GK64" s="58"/>
      <c r="GL64" s="58"/>
      <c r="GM64" s="58"/>
      <c r="GN64" s="58"/>
      <c r="GO64" s="58"/>
      <c r="GP64" s="58"/>
      <c r="GQ64" s="58"/>
      <c r="GR64" s="58"/>
      <c r="GS64" s="58"/>
      <c r="GT64" s="58"/>
      <c r="GU64" s="58"/>
      <c r="GV64" s="58"/>
      <c r="GW64" s="58"/>
      <c r="GX64" s="58"/>
      <c r="GY64" s="58"/>
      <c r="GZ64" s="58"/>
      <c r="HA64" s="58"/>
      <c r="HB64" s="58"/>
      <c r="HC64" s="58"/>
      <c r="HD64" s="58"/>
      <c r="HE64" s="58"/>
      <c r="HF64" s="58"/>
      <c r="HG64" s="58"/>
      <c r="HH64" s="58"/>
      <c r="HI64" s="58"/>
      <c r="HJ64" s="58"/>
      <c r="HK64" s="58"/>
      <c r="HL64" s="58"/>
      <c r="HM64" s="58"/>
      <c r="HN64" s="58"/>
      <c r="HO64" s="58"/>
      <c r="HP64" s="58"/>
      <c r="HQ64" s="58"/>
      <c r="HR64" s="58"/>
      <c r="HS64" s="58"/>
      <c r="HT64" s="58"/>
      <c r="HU64" s="58"/>
      <c r="HV64" s="58"/>
      <c r="HW64" s="58"/>
      <c r="HX64" s="58"/>
      <c r="HY64" s="58"/>
      <c r="HZ64" s="58"/>
      <c r="IA64" s="58"/>
      <c r="IB64" s="58"/>
      <c r="IC64" s="58"/>
      <c r="ID64" s="58"/>
      <c r="IE64" s="58"/>
      <c r="IF64" s="58"/>
      <c r="IG64" s="58"/>
      <c r="IH64" s="58"/>
      <c r="II64" s="58"/>
      <c r="IJ64" s="58"/>
      <c r="IK64" s="58"/>
      <c r="IL64" s="58"/>
      <c r="IM64" s="58"/>
    </row>
    <row r="65" spans="1:309" s="30" customFormat="1" hidden="1" x14ac:dyDescent="0.3">
      <c r="A65" s="20" t="s">
        <v>624</v>
      </c>
      <c r="B65" s="20" t="s">
        <v>371</v>
      </c>
      <c r="C65" s="20" t="s">
        <v>27</v>
      </c>
      <c r="E65" s="58"/>
      <c r="F65" s="70"/>
      <c r="G65" s="70"/>
      <c r="H65" s="70"/>
      <c r="I65" s="70"/>
      <c r="J65" s="70"/>
      <c r="K65" s="70"/>
      <c r="L65" s="70"/>
      <c r="M65" s="70"/>
      <c r="N65" s="70"/>
      <c r="O65" s="70"/>
      <c r="P65" s="70"/>
      <c r="Q65" s="70"/>
      <c r="R65" s="70"/>
      <c r="S65" s="70"/>
      <c r="T65" s="70"/>
      <c r="U65" s="70"/>
      <c r="V65" s="70"/>
      <c r="W65" s="70"/>
      <c r="X65" s="70"/>
      <c r="Y65" s="70"/>
      <c r="Z65" s="70"/>
      <c r="AA65" s="70"/>
      <c r="AB65" s="70"/>
      <c r="AC65" s="70"/>
      <c r="AD65" s="70"/>
      <c r="AE65" s="70"/>
      <c r="AF65" s="70"/>
      <c r="AG65" s="70"/>
      <c r="AH65" s="58"/>
      <c r="AI65" s="58"/>
      <c r="AJ65" s="58"/>
      <c r="AK65" s="58"/>
      <c r="AL65" s="58"/>
      <c r="AM65" s="58"/>
      <c r="AN65" s="58"/>
      <c r="AO65" s="58"/>
      <c r="AP65" s="58"/>
      <c r="AQ65" s="58"/>
      <c r="AR65" s="58"/>
      <c r="AS65" s="58"/>
      <c r="AT65" s="58"/>
      <c r="AU65" s="58"/>
      <c r="AV65" s="58"/>
      <c r="AW65" s="58"/>
      <c r="AX65" s="58"/>
      <c r="AY65" s="58"/>
      <c r="AZ65" s="58"/>
      <c r="BA65" s="58"/>
      <c r="BB65" s="58"/>
      <c r="BC65" s="58"/>
      <c r="BD65" s="58"/>
      <c r="BE65" s="58"/>
      <c r="BF65" s="58"/>
      <c r="BG65" s="58"/>
      <c r="BH65" s="58"/>
      <c r="BI65" s="58"/>
      <c r="BJ65" s="58"/>
      <c r="BK65" s="58"/>
      <c r="BL65" s="58"/>
      <c r="BM65" s="58"/>
      <c r="BN65" s="58"/>
      <c r="BO65" s="58"/>
      <c r="BP65" s="58"/>
      <c r="BQ65" s="58"/>
      <c r="BR65" s="58"/>
      <c r="BS65" s="58"/>
      <c r="BT65" s="58"/>
      <c r="BU65" s="58"/>
      <c r="BV65" s="58"/>
      <c r="BW65" s="58"/>
      <c r="BX65" s="58"/>
      <c r="BY65" s="58"/>
      <c r="BZ65" s="58"/>
      <c r="CA65" s="58"/>
      <c r="CB65" s="58"/>
      <c r="CC65" s="58"/>
      <c r="CD65" s="58"/>
      <c r="CE65" s="58"/>
      <c r="CF65" s="58"/>
      <c r="CG65" s="58"/>
      <c r="CH65" s="58"/>
      <c r="CI65" s="58"/>
      <c r="CJ65" s="58"/>
      <c r="CK65" s="58"/>
      <c r="CL65" s="58"/>
      <c r="CM65" s="58"/>
      <c r="CN65" s="58"/>
      <c r="CO65" s="58"/>
      <c r="CP65" s="58"/>
      <c r="CQ65" s="58"/>
      <c r="CR65" s="58"/>
      <c r="CS65" s="58"/>
      <c r="CT65" s="58"/>
      <c r="CU65" s="58"/>
      <c r="CV65" s="58"/>
      <c r="CW65" s="58"/>
      <c r="CX65" s="58"/>
      <c r="CY65" s="58"/>
      <c r="CZ65" s="58"/>
      <c r="DA65" s="58"/>
      <c r="DB65" s="58"/>
      <c r="DC65" s="58"/>
      <c r="DD65" s="58"/>
      <c r="DE65" s="58"/>
      <c r="DF65" s="58"/>
      <c r="DG65" s="58"/>
      <c r="DH65" s="58"/>
      <c r="DI65" s="58"/>
      <c r="DJ65" s="58"/>
      <c r="DK65" s="58"/>
      <c r="DL65" s="58"/>
      <c r="DM65" s="58"/>
      <c r="DN65" s="58"/>
      <c r="DO65" s="58"/>
      <c r="DP65" s="58"/>
      <c r="DQ65" s="58"/>
      <c r="DR65" s="58"/>
      <c r="DS65" s="58"/>
      <c r="DT65" s="58"/>
      <c r="DU65" s="58"/>
      <c r="DV65" s="58"/>
      <c r="DW65" s="58"/>
      <c r="DX65" s="58"/>
      <c r="DY65" s="58"/>
      <c r="DZ65" s="58"/>
      <c r="EA65" s="58"/>
      <c r="EB65" s="58"/>
      <c r="EC65" s="58"/>
      <c r="ED65" s="58"/>
      <c r="EE65" s="58"/>
      <c r="EF65" s="58"/>
      <c r="EG65" s="58"/>
      <c r="EH65" s="58"/>
      <c r="EI65" s="58"/>
      <c r="EJ65" s="58"/>
      <c r="EK65" s="58"/>
      <c r="EL65" s="58"/>
      <c r="EM65" s="58"/>
      <c r="EN65" s="58"/>
      <c r="EO65" s="58"/>
      <c r="EP65" s="58"/>
      <c r="EQ65" s="58"/>
      <c r="ER65" s="58"/>
      <c r="ES65" s="58"/>
      <c r="ET65" s="58"/>
      <c r="EU65" s="58"/>
      <c r="EV65" s="58"/>
      <c r="EW65" s="58"/>
      <c r="EX65" s="58"/>
      <c r="EY65" s="58"/>
      <c r="EZ65" s="58"/>
      <c r="FA65" s="58"/>
      <c r="FB65" s="58"/>
      <c r="FC65" s="58"/>
      <c r="FD65" s="58"/>
      <c r="FE65" s="58"/>
      <c r="FF65" s="58"/>
      <c r="FG65" s="58"/>
      <c r="FH65" s="58"/>
      <c r="FI65" s="58"/>
      <c r="FJ65" s="58"/>
      <c r="FK65" s="58"/>
      <c r="FL65" s="58"/>
      <c r="FM65" s="58"/>
      <c r="FN65" s="58"/>
      <c r="FO65" s="58"/>
      <c r="FP65" s="58"/>
      <c r="FQ65" s="58"/>
      <c r="FR65" s="58"/>
      <c r="FS65" s="58"/>
      <c r="FT65" s="58"/>
      <c r="FU65" s="58"/>
      <c r="FV65" s="58"/>
      <c r="FW65" s="58"/>
      <c r="FX65" s="58"/>
      <c r="FY65" s="58"/>
      <c r="FZ65" s="58"/>
      <c r="GA65" s="58"/>
      <c r="GB65" s="58"/>
      <c r="GC65" s="58"/>
      <c r="GD65" s="58"/>
      <c r="GE65" s="58"/>
      <c r="GF65" s="58"/>
      <c r="GG65" s="58"/>
      <c r="GH65" s="58"/>
      <c r="GI65" s="58"/>
      <c r="GJ65" s="58"/>
      <c r="GK65" s="58"/>
      <c r="GL65" s="58"/>
      <c r="GM65" s="58"/>
      <c r="GN65" s="58"/>
      <c r="GO65" s="58"/>
      <c r="GP65" s="58"/>
      <c r="GQ65" s="58"/>
      <c r="GR65" s="58"/>
      <c r="GS65" s="58"/>
      <c r="GT65" s="58"/>
      <c r="GU65" s="58"/>
      <c r="GV65" s="58"/>
      <c r="GW65" s="58"/>
      <c r="GX65" s="58"/>
      <c r="GY65" s="58"/>
      <c r="GZ65" s="58"/>
      <c r="HA65" s="58"/>
      <c r="HB65" s="58"/>
      <c r="HC65" s="58"/>
      <c r="HD65" s="58"/>
      <c r="HE65" s="58"/>
      <c r="HF65" s="58"/>
      <c r="HG65" s="58"/>
      <c r="HH65" s="58"/>
      <c r="HI65" s="58"/>
      <c r="HJ65" s="58"/>
      <c r="HK65" s="58"/>
      <c r="HL65" s="58"/>
      <c r="HM65" s="58"/>
      <c r="HN65" s="58"/>
      <c r="HO65" s="58"/>
      <c r="HP65" s="58"/>
      <c r="HQ65" s="58"/>
      <c r="HR65" s="58"/>
      <c r="HS65" s="58"/>
      <c r="HT65" s="58"/>
      <c r="HU65" s="58"/>
      <c r="HV65" s="58"/>
      <c r="HW65" s="58"/>
      <c r="HX65" s="58"/>
      <c r="HY65" s="58"/>
      <c r="HZ65" s="58"/>
      <c r="IA65" s="58"/>
      <c r="IB65" s="58"/>
      <c r="IC65" s="58"/>
      <c r="ID65" s="58"/>
      <c r="IE65" s="58"/>
      <c r="IF65" s="58"/>
      <c r="IG65" s="58"/>
      <c r="IH65" s="58"/>
      <c r="II65" s="58"/>
      <c r="IJ65" s="58"/>
      <c r="IK65" s="58"/>
      <c r="IL65" s="58"/>
      <c r="IM65" s="58"/>
    </row>
    <row r="66" spans="1:309" s="30" customFormat="1" ht="15" hidden="1" thickBot="1" x14ac:dyDescent="0.35">
      <c r="A66" s="78" t="s">
        <v>624</v>
      </c>
      <c r="B66" s="78" t="s">
        <v>57</v>
      </c>
      <c r="C66" s="78" t="s">
        <v>25</v>
      </c>
      <c r="E66" s="58"/>
      <c r="F66" s="58"/>
      <c r="G66" s="58"/>
      <c r="H66" s="58"/>
      <c r="I66" s="58"/>
      <c r="J66" s="58"/>
      <c r="K66" s="58"/>
      <c r="L66" s="79"/>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68"/>
      <c r="BM66" s="66"/>
      <c r="BN66" s="66"/>
      <c r="BO66" s="66"/>
      <c r="BP66" s="66"/>
      <c r="BQ66" s="66"/>
      <c r="BR66" s="66"/>
      <c r="BS66" s="66"/>
      <c r="BT66" s="66"/>
      <c r="BU66" s="66"/>
      <c r="BV66" s="67"/>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O66" s="84"/>
      <c r="KP66" s="85"/>
      <c r="KQ66" s="85"/>
      <c r="KR66" s="85"/>
      <c r="KS66" s="85"/>
      <c r="KT66" s="85"/>
      <c r="KU66" s="85"/>
      <c r="KV66" s="85"/>
      <c r="KW66" s="86"/>
    </row>
    <row r="67" spans="1:309" s="30" customFormat="1" ht="15" hidden="1" thickBot="1" x14ac:dyDescent="0.35">
      <c r="A67" s="78" t="s">
        <v>624</v>
      </c>
      <c r="B67" s="78" t="s">
        <v>57</v>
      </c>
      <c r="C67" s="78" t="s">
        <v>25</v>
      </c>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79"/>
      <c r="AH67" s="58"/>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68"/>
      <c r="BM67" s="66"/>
      <c r="BN67" s="66"/>
      <c r="BO67" s="66"/>
      <c r="BP67" s="66"/>
      <c r="BQ67" s="66"/>
      <c r="BR67" s="66"/>
      <c r="BS67" s="66"/>
      <c r="BT67" s="66"/>
      <c r="BU67" s="66"/>
      <c r="BV67" s="67"/>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KO67" s="84"/>
      <c r="KP67" s="85"/>
      <c r="KQ67" s="85"/>
      <c r="KR67" s="85"/>
      <c r="KS67" s="85"/>
      <c r="KT67" s="85"/>
      <c r="KU67" s="85"/>
      <c r="KV67" s="85"/>
      <c r="KW67" s="86"/>
    </row>
    <row r="68" spans="1:309" s="30" customFormat="1" ht="15" hidden="1" thickBot="1" x14ac:dyDescent="0.35">
      <c r="A68" s="19" t="s">
        <v>463</v>
      </c>
      <c r="B68" s="19" t="s">
        <v>55</v>
      </c>
      <c r="C68" s="19" t="s">
        <v>22</v>
      </c>
      <c r="E68" s="59"/>
      <c r="F68" s="59"/>
      <c r="G68" s="59"/>
      <c r="H68" s="59"/>
      <c r="I68" s="58"/>
      <c r="J68" s="58"/>
      <c r="K68" s="58"/>
      <c r="L68" s="58"/>
      <c r="M68" s="68"/>
      <c r="N68" s="66"/>
      <c r="O68" s="66"/>
      <c r="P68" s="66"/>
      <c r="Q68" s="66"/>
      <c r="R68" s="67"/>
      <c r="S68" s="68"/>
      <c r="T68" s="66"/>
      <c r="U68" s="66"/>
      <c r="V68" s="66"/>
      <c r="W68" s="66"/>
      <c r="X68" s="66"/>
      <c r="Y68" s="66"/>
      <c r="Z68" s="66"/>
      <c r="AA68" s="66"/>
      <c r="AB68" s="66"/>
      <c r="AC68" s="67"/>
      <c r="AD68" s="58"/>
      <c r="AE68" s="58"/>
      <c r="AF68" s="58" t="s">
        <v>263</v>
      </c>
      <c r="AG68" s="58" t="s">
        <v>263</v>
      </c>
      <c r="AH68" s="58" t="s">
        <v>263</v>
      </c>
      <c r="AI68" s="58" t="s">
        <v>263</v>
      </c>
      <c r="AJ68" s="58" t="s">
        <v>263</v>
      </c>
      <c r="AK68" s="58" t="s">
        <v>263</v>
      </c>
      <c r="AL68" s="58" t="s">
        <v>263</v>
      </c>
      <c r="AM68" s="58" t="s">
        <v>263</v>
      </c>
      <c r="AN68" s="58" t="s">
        <v>263</v>
      </c>
      <c r="AO68" s="58" t="s">
        <v>263</v>
      </c>
      <c r="AP68" s="58" t="s">
        <v>263</v>
      </c>
      <c r="AQ68" s="58" t="s">
        <v>263</v>
      </c>
      <c r="AR68" s="58" t="s">
        <v>263</v>
      </c>
      <c r="AS68" s="58" t="s">
        <v>263</v>
      </c>
      <c r="AT68" s="58" t="s">
        <v>263</v>
      </c>
      <c r="AU68" s="58" t="s">
        <v>263</v>
      </c>
      <c r="AV68" s="58" t="s">
        <v>263</v>
      </c>
      <c r="AW68" s="58" t="s">
        <v>263</v>
      </c>
      <c r="AX68" s="58" t="s">
        <v>263</v>
      </c>
      <c r="AY68" s="58" t="s">
        <v>263</v>
      </c>
      <c r="AZ68" s="58" t="s">
        <v>263</v>
      </c>
      <c r="BA68" s="58" t="s">
        <v>263</v>
      </c>
      <c r="BB68" s="58" t="s">
        <v>263</v>
      </c>
      <c r="BC68" s="58" t="s">
        <v>263</v>
      </c>
      <c r="BD68" s="58" t="s">
        <v>263</v>
      </c>
      <c r="BE68" s="58" t="s">
        <v>263</v>
      </c>
      <c r="BF68" s="58" t="s">
        <v>263</v>
      </c>
      <c r="BG68" s="58" t="s">
        <v>263</v>
      </c>
      <c r="BH68" s="58" t="s">
        <v>263</v>
      </c>
      <c r="BI68" s="58" t="s">
        <v>263</v>
      </c>
      <c r="BJ68" s="58" t="s">
        <v>263</v>
      </c>
      <c r="BK68" s="58" t="s">
        <v>263</v>
      </c>
      <c r="BL68" s="58" t="s">
        <v>263</v>
      </c>
      <c r="BM68" s="58" t="s">
        <v>263</v>
      </c>
      <c r="BN68" s="58" t="s">
        <v>263</v>
      </c>
      <c r="BO68" s="58" t="s">
        <v>263</v>
      </c>
      <c r="BP68" s="58" t="s">
        <v>263</v>
      </c>
      <c r="BQ68" s="58" t="s">
        <v>263</v>
      </c>
      <c r="BR68" s="58" t="s">
        <v>263</v>
      </c>
      <c r="BS68" s="58" t="s">
        <v>263</v>
      </c>
      <c r="BT68" s="58" t="s">
        <v>263</v>
      </c>
      <c r="BU68" s="58" t="s">
        <v>263</v>
      </c>
      <c r="BV68" s="58" t="s">
        <v>263</v>
      </c>
      <c r="BW68" s="58" t="s">
        <v>263</v>
      </c>
      <c r="BX68" s="58" t="s">
        <v>263</v>
      </c>
      <c r="BY68" s="58" t="s">
        <v>263</v>
      </c>
      <c r="BZ68" s="58" t="s">
        <v>263</v>
      </c>
      <c r="CA68" s="58" t="s">
        <v>263</v>
      </c>
      <c r="CB68" s="58" t="s">
        <v>263</v>
      </c>
      <c r="CC68" s="58" t="s">
        <v>263</v>
      </c>
      <c r="CD68" s="58" t="s">
        <v>263</v>
      </c>
      <c r="CE68" s="58" t="s">
        <v>263</v>
      </c>
      <c r="CF68" s="58" t="s">
        <v>263</v>
      </c>
      <c r="CG68" s="58" t="s">
        <v>263</v>
      </c>
      <c r="CH68" s="58" t="s">
        <v>263</v>
      </c>
      <c r="CI68" s="58" t="s">
        <v>263</v>
      </c>
      <c r="CJ68" s="58" t="s">
        <v>263</v>
      </c>
      <c r="CK68" s="58" t="s">
        <v>263</v>
      </c>
      <c r="CL68" s="58" t="s">
        <v>263</v>
      </c>
      <c r="CM68" s="58" t="s">
        <v>263</v>
      </c>
      <c r="CN68" s="58" t="s">
        <v>263</v>
      </c>
      <c r="CO68" s="58" t="s">
        <v>263</v>
      </c>
      <c r="CP68" s="58" t="s">
        <v>263</v>
      </c>
      <c r="CQ68" s="58" t="s">
        <v>263</v>
      </c>
      <c r="CR68" s="58" t="s">
        <v>263</v>
      </c>
      <c r="CS68" s="58" t="s">
        <v>263</v>
      </c>
      <c r="CT68" s="58" t="s">
        <v>263</v>
      </c>
      <c r="CU68" s="58" t="s">
        <v>263</v>
      </c>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row>
    <row r="69" spans="1:309" s="30" customFormat="1" hidden="1" x14ac:dyDescent="0.3">
      <c r="A69" s="76" t="s">
        <v>463</v>
      </c>
      <c r="B69" s="76" t="s">
        <v>55</v>
      </c>
      <c r="C69" s="76" t="s">
        <v>29</v>
      </c>
      <c r="E69" s="58"/>
      <c r="F69" s="58"/>
      <c r="G69" s="58"/>
      <c r="H69" s="58"/>
      <c r="I69" s="58"/>
      <c r="J69" s="58"/>
      <c r="K69" s="81"/>
      <c r="L69" s="81"/>
      <c r="M69" s="75"/>
      <c r="N69" s="75"/>
      <c r="O69" s="75"/>
      <c r="P69" s="75"/>
      <c r="Q69" s="75"/>
      <c r="R69" s="75"/>
      <c r="S69" s="75"/>
      <c r="T69" s="75"/>
      <c r="U69" s="75"/>
      <c r="V69" s="75"/>
      <c r="W69" s="75"/>
      <c r="X69" s="75"/>
      <c r="Y69" s="75"/>
      <c r="Z69" s="75"/>
      <c r="AA69" s="75"/>
      <c r="AB69" s="75"/>
      <c r="AC69" s="75"/>
      <c r="AD69" s="58"/>
      <c r="AE69" s="58"/>
      <c r="AF69" s="58"/>
      <c r="AG69" s="58"/>
      <c r="AH69" s="58"/>
      <c r="AI69" s="58"/>
      <c r="AJ69" s="58"/>
      <c r="AK69" s="58"/>
      <c r="AL69" s="58"/>
      <c r="AM69" s="58"/>
      <c r="AN69" s="58"/>
      <c r="AO69" s="58"/>
      <c r="AP69" s="58"/>
      <c r="AQ69" s="58"/>
      <c r="AR69" s="58"/>
      <c r="AS69" s="58"/>
      <c r="AT69" s="58"/>
      <c r="AU69" s="58"/>
      <c r="AV69" s="58"/>
      <c r="AW69" s="58"/>
      <c r="AX69" s="58"/>
      <c r="AY69" s="58"/>
      <c r="AZ69" s="58"/>
      <c r="BA69" s="58"/>
      <c r="BB69" s="58"/>
      <c r="BC69" s="58"/>
      <c r="BD69" s="58"/>
      <c r="BE69" s="58"/>
      <c r="BF69" s="58"/>
      <c r="BG69" s="58"/>
      <c r="BH69" s="58"/>
      <c r="BI69" s="58"/>
      <c r="BJ69" s="58"/>
      <c r="BK69" s="58"/>
      <c r="BL69" s="58"/>
      <c r="BM69" s="58"/>
      <c r="BN69" s="58"/>
      <c r="BO69" s="58"/>
      <c r="BP69" s="58"/>
      <c r="BQ69" s="58"/>
      <c r="BR69" s="58"/>
      <c r="BS69" s="58"/>
      <c r="BT69" s="58"/>
      <c r="BU69" s="58"/>
      <c r="BV69" s="58"/>
      <c r="BW69" s="58"/>
      <c r="BX69" s="58"/>
      <c r="BY69" s="58"/>
      <c r="BZ69" s="58"/>
      <c r="CA69" s="58"/>
      <c r="CB69" s="58"/>
      <c r="CC69" s="58"/>
      <c r="CD69" s="58"/>
      <c r="CE69" s="58"/>
      <c r="CF69" s="58"/>
      <c r="CG69" s="58"/>
      <c r="CH69" s="58"/>
      <c r="CI69" s="58"/>
      <c r="CJ69" s="58"/>
      <c r="CK69" s="58"/>
      <c r="CL69" s="58"/>
      <c r="CM69" s="58"/>
      <c r="CN69" s="58"/>
      <c r="CO69" s="58"/>
      <c r="CP69" s="58"/>
      <c r="CQ69" s="58"/>
      <c r="CR69" s="58"/>
      <c r="CS69" s="58"/>
      <c r="CT69" s="58"/>
      <c r="CU69" s="58"/>
      <c r="CV69" s="58"/>
      <c r="CW69" s="58"/>
      <c r="CX69" s="58"/>
      <c r="CY69" s="58"/>
      <c r="CZ69" s="58"/>
      <c r="DA69" s="58"/>
      <c r="DB69" s="58"/>
      <c r="DC69" s="58"/>
      <c r="DD69" s="58"/>
      <c r="DE69" s="58"/>
      <c r="DF69" s="58"/>
      <c r="DG69" s="58"/>
      <c r="DH69" s="58"/>
      <c r="DI69" s="58"/>
      <c r="DJ69" s="58"/>
      <c r="DK69" s="58"/>
      <c r="DL69" s="58"/>
      <c r="DM69" s="58"/>
      <c r="DN69" s="58"/>
      <c r="DO69" s="58"/>
      <c r="DP69" s="58"/>
      <c r="DQ69" s="58"/>
      <c r="DR69" s="58"/>
      <c r="DS69" s="58"/>
      <c r="DT69" s="58"/>
      <c r="DU69" s="58"/>
      <c r="DV69" s="58"/>
      <c r="DW69" s="58"/>
      <c r="DX69" s="58"/>
      <c r="DY69" s="58"/>
      <c r="DZ69" s="58"/>
      <c r="EA69" s="58"/>
      <c r="EB69" s="58"/>
      <c r="EC69" s="58"/>
      <c r="ED69" s="58"/>
      <c r="EE69" s="58"/>
      <c r="EF69" s="58"/>
      <c r="EG69" s="58"/>
      <c r="EH69" s="58"/>
      <c r="EI69" s="58"/>
      <c r="EJ69" s="58"/>
      <c r="EK69" s="58"/>
      <c r="EL69" s="58"/>
      <c r="EM69" s="58"/>
      <c r="EN69" s="58"/>
      <c r="EO69" s="58"/>
      <c r="EP69" s="58"/>
      <c r="EQ69" s="58"/>
      <c r="ER69" s="58"/>
      <c r="ES69" s="58"/>
      <c r="ET69" s="58"/>
      <c r="EU69" s="58"/>
      <c r="EV69" s="58"/>
      <c r="EW69" s="58"/>
      <c r="EX69" s="58"/>
      <c r="EY69" s="58"/>
      <c r="EZ69" s="58"/>
      <c r="FA69" s="58"/>
      <c r="FB69" s="58"/>
      <c r="FC69" s="58"/>
      <c r="FD69" s="58"/>
      <c r="FE69" s="58"/>
      <c r="FF69" s="58"/>
      <c r="FG69" s="58"/>
      <c r="FH69" s="58"/>
      <c r="FI69" s="58"/>
      <c r="FJ69" s="58"/>
      <c r="FK69" s="58"/>
      <c r="FL69" s="58"/>
      <c r="FM69" s="58"/>
      <c r="FN69" s="58"/>
      <c r="FO69" s="58"/>
      <c r="FP69" s="58"/>
      <c r="FQ69" s="58"/>
      <c r="FR69" s="58"/>
      <c r="FS69" s="58"/>
      <c r="FT69" s="58"/>
      <c r="FU69" s="58"/>
      <c r="FV69" s="58"/>
      <c r="FW69" s="58"/>
      <c r="FX69" s="58"/>
      <c r="FY69" s="58"/>
      <c r="FZ69" s="58"/>
      <c r="GA69" s="58"/>
      <c r="GB69" s="58"/>
      <c r="GC69" s="58"/>
      <c r="GD69" s="58"/>
      <c r="GE69" s="58"/>
      <c r="GF69" s="58"/>
      <c r="GG69" s="58"/>
      <c r="GH69" s="58"/>
      <c r="GI69" s="58"/>
      <c r="GJ69" s="58"/>
      <c r="GK69" s="58"/>
      <c r="GL69" s="58"/>
      <c r="GM69" s="58"/>
      <c r="GN69" s="58"/>
      <c r="GO69" s="58"/>
      <c r="GP69" s="58"/>
      <c r="GQ69" s="58"/>
      <c r="GR69" s="58"/>
      <c r="GS69" s="58"/>
      <c r="GT69" s="58"/>
      <c r="GU69" s="58"/>
      <c r="GV69" s="58"/>
      <c r="GW69" s="58"/>
      <c r="GX69" s="58"/>
      <c r="GY69" s="58"/>
      <c r="GZ69" s="58"/>
      <c r="HA69" s="58"/>
      <c r="HB69" s="58"/>
      <c r="HC69" s="58"/>
      <c r="HD69" s="58"/>
      <c r="HE69" s="58"/>
      <c r="HF69" s="58"/>
      <c r="HG69" s="58"/>
      <c r="HH69" s="58"/>
      <c r="HI69" s="58"/>
      <c r="HJ69" s="58"/>
      <c r="HK69" s="58"/>
      <c r="HL69" s="58"/>
      <c r="HM69" s="58"/>
      <c r="HN69" s="58"/>
      <c r="HO69" s="58"/>
      <c r="HP69" s="58"/>
      <c r="HQ69" s="58"/>
      <c r="HR69" s="58"/>
      <c r="HS69" s="58"/>
      <c r="HT69" s="58"/>
      <c r="HU69" s="58"/>
      <c r="HV69" s="58"/>
      <c r="HW69" s="58"/>
      <c r="HX69" s="58"/>
      <c r="HY69" s="58"/>
      <c r="HZ69" s="58"/>
      <c r="IA69" s="58"/>
      <c r="IB69" s="58"/>
      <c r="IC69" s="58"/>
      <c r="ID69" s="58"/>
      <c r="IE69" s="58"/>
      <c r="IF69" s="58"/>
      <c r="IG69" s="58"/>
      <c r="IH69" s="58"/>
      <c r="II69" s="58"/>
      <c r="IJ69" s="58"/>
      <c r="IK69" s="58"/>
      <c r="IL69" s="58"/>
      <c r="IM69" s="58"/>
    </row>
    <row r="70" spans="1:309" s="30" customFormat="1" hidden="1" x14ac:dyDescent="0.3">
      <c r="A70" s="20" t="s">
        <v>463</v>
      </c>
      <c r="B70" s="20" t="s">
        <v>371</v>
      </c>
      <c r="C70" s="20" t="s">
        <v>27</v>
      </c>
      <c r="E70" s="70"/>
      <c r="F70" s="70"/>
      <c r="G70" s="70"/>
      <c r="H70" s="70"/>
      <c r="I70" s="70"/>
      <c r="J70" s="70"/>
      <c r="K70" s="70"/>
      <c r="L70" s="70"/>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8"/>
      <c r="BO70" s="58"/>
      <c r="BP70" s="58"/>
      <c r="BQ70" s="58"/>
      <c r="BR70" s="58"/>
      <c r="BS70" s="58"/>
      <c r="BT70" s="58"/>
      <c r="BU70" s="58"/>
      <c r="BV70" s="58"/>
      <c r="BW70" s="58"/>
      <c r="BX70" s="58"/>
      <c r="BY70" s="58"/>
      <c r="BZ70" s="58"/>
      <c r="CA70" s="58"/>
      <c r="CB70" s="58"/>
      <c r="CC70" s="58"/>
      <c r="CD70" s="58"/>
      <c r="CE70" s="58"/>
      <c r="CF70" s="58"/>
      <c r="CG70" s="58"/>
      <c r="CH70" s="58"/>
      <c r="CI70" s="58"/>
      <c r="CJ70" s="58"/>
      <c r="CK70" s="58"/>
      <c r="CL70" s="58"/>
      <c r="CM70" s="58"/>
      <c r="CN70" s="58"/>
      <c r="CO70" s="58"/>
      <c r="CP70" s="58"/>
      <c r="CQ70" s="58"/>
      <c r="CR70" s="58"/>
      <c r="CS70" s="58"/>
      <c r="CT70" s="58"/>
      <c r="CU70" s="58"/>
      <c r="CV70" s="58"/>
      <c r="CW70" s="58"/>
      <c r="CX70" s="58"/>
      <c r="CY70" s="58"/>
      <c r="CZ70" s="58"/>
      <c r="DA70" s="58"/>
      <c r="DB70" s="58"/>
      <c r="DC70" s="58"/>
      <c r="DD70" s="58"/>
      <c r="DE70" s="58"/>
      <c r="DF70" s="58"/>
      <c r="DG70" s="58"/>
      <c r="DH70" s="58"/>
      <c r="DI70" s="58"/>
      <c r="DJ70" s="58"/>
      <c r="DK70" s="58"/>
      <c r="DL70" s="58"/>
      <c r="DM70" s="58"/>
      <c r="DN70" s="58"/>
      <c r="DO70" s="58"/>
      <c r="DP70" s="58"/>
      <c r="DQ70" s="58"/>
      <c r="DR70" s="58"/>
      <c r="DS70" s="58"/>
      <c r="DT70" s="58"/>
      <c r="DU70" s="58"/>
      <c r="DV70" s="58"/>
      <c r="DW70" s="58"/>
      <c r="DX70" s="58"/>
      <c r="DY70" s="58"/>
      <c r="DZ70" s="58"/>
      <c r="EA70" s="58"/>
      <c r="EB70" s="58"/>
      <c r="EC70" s="58"/>
      <c r="ED70" s="58"/>
      <c r="EE70" s="58"/>
      <c r="EF70" s="58"/>
      <c r="EG70" s="58"/>
      <c r="EH70" s="58"/>
      <c r="EI70" s="58"/>
      <c r="EJ70" s="58"/>
      <c r="EK70" s="58"/>
      <c r="EL70" s="58"/>
      <c r="EM70" s="58"/>
      <c r="EN70" s="58"/>
      <c r="EO70" s="58"/>
      <c r="EP70" s="58"/>
      <c r="EQ70" s="58"/>
      <c r="ER70" s="58"/>
      <c r="ES70" s="58"/>
      <c r="ET70" s="58"/>
      <c r="EU70" s="58"/>
      <c r="EV70" s="58"/>
      <c r="EW70" s="58"/>
      <c r="EX70" s="58"/>
      <c r="EY70" s="58"/>
      <c r="EZ70" s="58"/>
      <c r="FA70" s="58"/>
      <c r="FB70" s="58"/>
      <c r="FC70" s="58"/>
      <c r="FD70" s="58"/>
      <c r="FE70" s="58"/>
      <c r="FF70" s="58"/>
      <c r="FG70" s="58"/>
      <c r="FH70" s="58"/>
      <c r="FI70" s="58"/>
      <c r="FJ70" s="58"/>
      <c r="FK70" s="58"/>
      <c r="FL70" s="58"/>
      <c r="FM70" s="58"/>
      <c r="FN70" s="58"/>
      <c r="FO70" s="58"/>
      <c r="FP70" s="58"/>
      <c r="FQ70" s="58"/>
      <c r="FR70" s="58"/>
      <c r="FS70" s="58"/>
      <c r="FT70" s="58"/>
      <c r="FU70" s="58"/>
      <c r="FV70" s="58"/>
      <c r="FW70" s="58"/>
      <c r="FX70" s="58"/>
      <c r="FY70" s="58"/>
      <c r="FZ70" s="58"/>
      <c r="GA70" s="58"/>
      <c r="GB70" s="58"/>
      <c r="GC70" s="58"/>
      <c r="GD70" s="58"/>
      <c r="GE70" s="58"/>
      <c r="GF70" s="58"/>
      <c r="GG70" s="58"/>
      <c r="GH70" s="58"/>
      <c r="GI70" s="58"/>
      <c r="GJ70" s="58"/>
      <c r="GK70" s="58"/>
      <c r="GL70" s="58"/>
      <c r="GM70" s="58"/>
      <c r="GN70" s="58"/>
      <c r="GO70" s="58"/>
      <c r="GP70" s="58"/>
      <c r="GQ70" s="58"/>
      <c r="GR70" s="58"/>
      <c r="GS70" s="58"/>
      <c r="GT70" s="58"/>
      <c r="GU70" s="58"/>
      <c r="GV70" s="58"/>
      <c r="GW70" s="58"/>
      <c r="GX70" s="58"/>
      <c r="GY70" s="58"/>
      <c r="GZ70" s="58"/>
      <c r="HA70" s="58"/>
      <c r="HB70" s="58"/>
      <c r="HC70" s="58"/>
      <c r="HD70" s="58"/>
      <c r="HE70" s="58"/>
      <c r="HF70" s="58"/>
      <c r="HG70" s="58"/>
      <c r="HH70" s="58"/>
      <c r="HI70" s="58"/>
      <c r="HJ70" s="58"/>
      <c r="HK70" s="58"/>
      <c r="HL70" s="58"/>
      <c r="HM70" s="58"/>
      <c r="HN70" s="58"/>
      <c r="HO70" s="58"/>
      <c r="HP70" s="58"/>
      <c r="HQ70" s="58"/>
      <c r="HR70" s="58"/>
      <c r="HS70" s="58"/>
      <c r="HT70" s="58"/>
      <c r="HU70" s="58"/>
      <c r="HV70" s="58"/>
      <c r="HW70" s="58"/>
      <c r="HX70" s="58"/>
      <c r="HY70" s="58"/>
      <c r="HZ70" s="58"/>
      <c r="IA70" s="58"/>
      <c r="IB70" s="58"/>
      <c r="IC70" s="58"/>
      <c r="ID70" s="58"/>
      <c r="IE70" s="58"/>
      <c r="IF70" s="58"/>
      <c r="IG70" s="58"/>
      <c r="IH70" s="58"/>
      <c r="II70" s="58"/>
      <c r="IJ70" s="58"/>
      <c r="IK70" s="58"/>
      <c r="IL70" s="58"/>
      <c r="IM70" s="58"/>
    </row>
    <row r="71" spans="1:309" s="30" customFormat="1" hidden="1" x14ac:dyDescent="0.3">
      <c r="A71" s="20" t="s">
        <v>463</v>
      </c>
      <c r="B71" s="20" t="s">
        <v>371</v>
      </c>
      <c r="C71" s="20" t="s">
        <v>27</v>
      </c>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c r="AE71" s="58"/>
      <c r="AF71" s="70"/>
      <c r="AG71" s="70"/>
      <c r="AH71" s="70"/>
      <c r="AI71" s="70"/>
      <c r="AJ71" s="70"/>
      <c r="AK71" s="70"/>
      <c r="AL71" s="70"/>
      <c r="AM71" s="70"/>
      <c r="AN71" s="70"/>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58"/>
      <c r="BO71" s="58"/>
      <c r="BP71" s="58"/>
      <c r="BQ71" s="58"/>
      <c r="BR71" s="58"/>
      <c r="BS71" s="58"/>
      <c r="BT71" s="58"/>
      <c r="BU71" s="58"/>
      <c r="BV71" s="58"/>
      <c r="BW71" s="58"/>
      <c r="BX71" s="58"/>
      <c r="BY71" s="58"/>
      <c r="BZ71" s="58"/>
      <c r="CA71" s="58"/>
      <c r="CB71" s="58"/>
      <c r="CC71" s="58"/>
      <c r="CD71" s="58"/>
      <c r="CE71" s="58"/>
      <c r="CF71" s="58"/>
      <c r="CG71" s="58"/>
      <c r="CH71" s="58"/>
      <c r="CI71" s="58"/>
      <c r="CJ71" s="58"/>
      <c r="CK71" s="58"/>
      <c r="CL71" s="58"/>
      <c r="CM71" s="58"/>
      <c r="CN71" s="58"/>
      <c r="CO71" s="58"/>
      <c r="CP71" s="58"/>
      <c r="CQ71" s="58"/>
      <c r="CR71" s="58"/>
      <c r="CS71" s="58"/>
      <c r="CT71" s="58"/>
      <c r="CU71" s="58"/>
      <c r="CV71" s="58"/>
      <c r="CW71" s="58"/>
      <c r="CX71" s="58"/>
      <c r="CY71" s="58"/>
      <c r="CZ71" s="58"/>
      <c r="DA71" s="58"/>
      <c r="DB71" s="58"/>
      <c r="DC71" s="58"/>
      <c r="DD71" s="58"/>
      <c r="DE71" s="58"/>
      <c r="DF71" s="58"/>
      <c r="DG71" s="58"/>
      <c r="DH71" s="58"/>
      <c r="DI71" s="58"/>
      <c r="DJ71" s="58"/>
      <c r="DK71" s="58"/>
      <c r="DL71" s="58"/>
      <c r="DM71" s="58"/>
      <c r="DN71" s="58"/>
      <c r="DO71" s="58"/>
      <c r="DP71" s="58"/>
      <c r="DQ71" s="58"/>
      <c r="DR71" s="58"/>
      <c r="DS71" s="58"/>
      <c r="DT71" s="58"/>
      <c r="DU71" s="58"/>
      <c r="DV71" s="58"/>
      <c r="DW71" s="58"/>
      <c r="DX71" s="58"/>
      <c r="DY71" s="58"/>
      <c r="DZ71" s="58"/>
      <c r="EA71" s="58"/>
      <c r="EB71" s="58"/>
      <c r="EC71" s="58"/>
      <c r="ED71" s="58"/>
      <c r="EE71" s="58"/>
      <c r="EF71" s="58"/>
      <c r="EG71" s="58"/>
      <c r="EH71" s="58"/>
      <c r="EI71" s="58"/>
      <c r="EJ71" s="58"/>
      <c r="EK71" s="58"/>
      <c r="EL71" s="58"/>
      <c r="EM71" s="58"/>
      <c r="EN71" s="58"/>
      <c r="EO71" s="58"/>
      <c r="EP71" s="58"/>
      <c r="EQ71" s="58"/>
      <c r="ER71" s="58"/>
      <c r="ES71" s="58"/>
      <c r="ET71" s="58"/>
      <c r="EU71" s="58"/>
      <c r="EV71" s="58"/>
      <c r="EW71" s="58"/>
      <c r="EX71" s="58"/>
      <c r="EY71" s="58"/>
      <c r="EZ71" s="58"/>
      <c r="FA71" s="58"/>
      <c r="FB71" s="58"/>
      <c r="FC71" s="58"/>
      <c r="FD71" s="58"/>
      <c r="FE71" s="58"/>
      <c r="FF71" s="58"/>
      <c r="FG71" s="58"/>
      <c r="FH71" s="58"/>
      <c r="FI71" s="58"/>
      <c r="FJ71" s="58"/>
      <c r="FK71" s="58"/>
      <c r="FL71" s="58"/>
      <c r="FM71" s="58"/>
      <c r="FN71" s="58"/>
      <c r="FO71" s="58"/>
      <c r="FP71" s="58"/>
      <c r="FQ71" s="58"/>
      <c r="FR71" s="58"/>
      <c r="FS71" s="58"/>
      <c r="FT71" s="58"/>
      <c r="FU71" s="58"/>
      <c r="FV71" s="58"/>
      <c r="FW71" s="58"/>
      <c r="FX71" s="58"/>
      <c r="FY71" s="58"/>
      <c r="FZ71" s="58"/>
      <c r="GA71" s="58"/>
      <c r="GB71" s="58"/>
      <c r="GC71" s="58"/>
      <c r="GD71" s="58"/>
      <c r="GE71" s="58"/>
      <c r="GF71" s="58"/>
      <c r="GG71" s="58"/>
      <c r="GH71" s="58"/>
      <c r="GI71" s="58"/>
      <c r="GJ71" s="58"/>
      <c r="GK71" s="58"/>
      <c r="GL71" s="58"/>
      <c r="GM71" s="58"/>
      <c r="GN71" s="58"/>
      <c r="GO71" s="58"/>
      <c r="GP71" s="58"/>
      <c r="GQ71" s="58"/>
      <c r="GR71" s="58"/>
      <c r="GS71" s="58"/>
      <c r="GT71" s="58"/>
      <c r="GU71" s="58"/>
      <c r="GV71" s="58"/>
      <c r="GW71" s="58"/>
      <c r="GX71" s="58"/>
      <c r="GY71" s="58"/>
      <c r="GZ71" s="58"/>
      <c r="HA71" s="58"/>
      <c r="HB71" s="58"/>
      <c r="HC71" s="58"/>
      <c r="HD71" s="58"/>
      <c r="HE71" s="58"/>
      <c r="HF71" s="58"/>
      <c r="HG71" s="58"/>
      <c r="HH71" s="58"/>
      <c r="HI71" s="58"/>
      <c r="HJ71" s="58"/>
      <c r="HK71" s="58"/>
      <c r="HL71" s="58"/>
      <c r="HM71" s="58"/>
      <c r="HN71" s="58"/>
      <c r="HO71" s="58"/>
      <c r="HP71" s="58"/>
      <c r="HQ71" s="58"/>
      <c r="HR71" s="58"/>
      <c r="HS71" s="58"/>
      <c r="HT71" s="58"/>
      <c r="HU71" s="58"/>
      <c r="HV71" s="58"/>
      <c r="HW71" s="58"/>
      <c r="HX71" s="58"/>
      <c r="HY71" s="58"/>
      <c r="HZ71" s="58"/>
      <c r="IA71" s="58"/>
      <c r="IB71" s="58"/>
      <c r="IC71" s="58"/>
      <c r="ID71" s="58"/>
      <c r="IE71" s="58"/>
      <c r="IF71" s="58"/>
      <c r="IG71" s="58"/>
      <c r="IH71" s="58"/>
      <c r="II71" s="58"/>
      <c r="IJ71" s="58"/>
      <c r="IK71" s="58"/>
      <c r="IL71" s="58"/>
      <c r="IM71" s="58"/>
    </row>
    <row r="72" spans="1:309" s="30" customFormat="1" ht="15" hidden="1" thickBot="1" x14ac:dyDescent="0.35">
      <c r="A72" s="78" t="s">
        <v>463</v>
      </c>
      <c r="B72" s="78" t="s">
        <v>57</v>
      </c>
      <c r="C72" s="78" t="s">
        <v>25</v>
      </c>
      <c r="E72" s="58"/>
      <c r="F72" s="58"/>
      <c r="G72" s="58"/>
      <c r="H72" s="58"/>
      <c r="I72" s="58"/>
      <c r="J72" s="58"/>
      <c r="K72" s="58"/>
      <c r="L72" s="79"/>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68"/>
      <c r="BM72" s="66"/>
      <c r="BN72" s="66"/>
      <c r="BO72" s="66"/>
      <c r="BP72" s="66"/>
      <c r="BQ72" s="66"/>
      <c r="BR72" s="66"/>
      <c r="BS72" s="66"/>
      <c r="BT72" s="66"/>
      <c r="BU72" s="66"/>
      <c r="BV72" s="67"/>
      <c r="BW72" s="58"/>
      <c r="BX72" s="58"/>
      <c r="BY72" s="58"/>
      <c r="BZ72" s="58"/>
      <c r="CA72" s="58"/>
      <c r="CB72" s="58"/>
      <c r="CC72" s="58"/>
      <c r="CD72" s="58"/>
      <c r="CE72" s="58"/>
      <c r="CF72" s="58"/>
      <c r="CG72" s="58"/>
      <c r="CH72" s="58"/>
      <c r="CI72" s="58"/>
      <c r="CJ72" s="58"/>
      <c r="CK72" s="58"/>
      <c r="CL72" s="58"/>
      <c r="CM72" s="58"/>
      <c r="CN72" s="58"/>
      <c r="CO72" s="58"/>
      <c r="CP72" s="58"/>
      <c r="CQ72" s="58"/>
      <c r="CR72" s="58"/>
      <c r="CS72" s="58"/>
      <c r="CT72" s="58"/>
      <c r="CU72" s="58"/>
      <c r="CV72" s="58"/>
      <c r="CW72" s="58"/>
      <c r="CX72" s="58"/>
      <c r="CY72" s="58"/>
      <c r="CZ72" s="58"/>
      <c r="DA72" s="58"/>
      <c r="DB72" s="58"/>
      <c r="DC72" s="58"/>
      <c r="DD72" s="58"/>
      <c r="DE72" s="58"/>
      <c r="DF72" s="58"/>
      <c r="DG72" s="58"/>
      <c r="DH72" s="58"/>
      <c r="DI72" s="58"/>
      <c r="DJ72" s="58"/>
      <c r="DK72" s="58"/>
      <c r="DL72" s="58"/>
      <c r="DM72" s="58"/>
      <c r="DN72" s="58"/>
      <c r="DO72" s="58"/>
      <c r="DP72" s="58"/>
      <c r="DQ72" s="58"/>
      <c r="DR72" s="58"/>
      <c r="DS72" s="58"/>
      <c r="DT72" s="58"/>
      <c r="DU72" s="58"/>
      <c r="DV72" s="58"/>
      <c r="DW72" s="58"/>
      <c r="DX72" s="58"/>
      <c r="DY72" s="58"/>
      <c r="DZ72" s="58"/>
      <c r="EA72" s="58"/>
      <c r="EB72" s="58"/>
      <c r="EC72" s="58"/>
      <c r="ED72" s="58"/>
      <c r="EE72" s="58"/>
      <c r="EF72" s="58"/>
      <c r="EG72" s="58"/>
      <c r="EH72" s="58"/>
      <c r="EI72" s="58"/>
      <c r="EJ72" s="58"/>
      <c r="EK72" s="58"/>
      <c r="EL72" s="58"/>
      <c r="EM72" s="58"/>
      <c r="EN72" s="58"/>
      <c r="EO72" s="58"/>
      <c r="EP72" s="58"/>
      <c r="EQ72" s="58"/>
      <c r="ER72" s="58"/>
      <c r="ES72" s="58"/>
      <c r="ET72" s="58"/>
      <c r="EU72" s="58"/>
      <c r="EV72" s="58"/>
      <c r="EW72" s="58"/>
      <c r="EX72" s="58"/>
      <c r="EY72" s="58"/>
      <c r="EZ72" s="58"/>
      <c r="FA72" s="58"/>
      <c r="FB72" s="58"/>
      <c r="FC72" s="58"/>
      <c r="FD72" s="58"/>
      <c r="FE72" s="58"/>
      <c r="FF72" s="58"/>
      <c r="FG72" s="58"/>
      <c r="FH72" s="58"/>
      <c r="FI72" s="58"/>
      <c r="FJ72" s="58"/>
      <c r="FK72" s="58"/>
      <c r="FL72" s="58"/>
      <c r="FM72" s="58"/>
      <c r="FN72" s="58"/>
      <c r="FO72" s="58"/>
      <c r="FP72" s="58"/>
      <c r="FQ72" s="58"/>
      <c r="FR72" s="58"/>
      <c r="FS72" s="58"/>
      <c r="FT72" s="58"/>
      <c r="FU72" s="58"/>
      <c r="FV72" s="58"/>
      <c r="FW72" s="58"/>
      <c r="FX72" s="58"/>
      <c r="FY72" s="58"/>
      <c r="FZ72" s="58"/>
      <c r="GA72" s="58"/>
      <c r="GB72" s="58"/>
      <c r="GC72" s="58"/>
      <c r="GD72" s="58"/>
      <c r="GE72" s="58"/>
      <c r="GF72" s="58"/>
      <c r="GG72" s="58"/>
      <c r="GH72" s="58"/>
      <c r="GI72" s="58"/>
      <c r="GJ72" s="58"/>
      <c r="GK72" s="58"/>
      <c r="GL72" s="58"/>
      <c r="GM72" s="58"/>
      <c r="GN72" s="58"/>
      <c r="GO72" s="58"/>
      <c r="GP72" s="58"/>
      <c r="GQ72" s="58"/>
      <c r="GR72" s="58"/>
      <c r="GS72" s="58"/>
      <c r="GT72" s="58"/>
      <c r="GU72" s="58"/>
      <c r="GV72" s="58"/>
      <c r="GW72" s="58"/>
      <c r="GX72" s="58"/>
      <c r="GY72" s="58"/>
      <c r="GZ72" s="58"/>
      <c r="HA72" s="58"/>
      <c r="HB72" s="58"/>
      <c r="HC72" s="58"/>
      <c r="HD72" s="58"/>
      <c r="HE72" s="58"/>
      <c r="HF72" s="58"/>
      <c r="HG72" s="58"/>
      <c r="HH72" s="58"/>
      <c r="HI72" s="58"/>
      <c r="HJ72" s="58"/>
      <c r="HK72" s="58"/>
      <c r="HL72" s="58"/>
      <c r="HM72" s="58"/>
      <c r="HN72" s="58"/>
      <c r="HO72" s="58"/>
      <c r="HP72" s="58"/>
      <c r="HQ72" s="58"/>
      <c r="HR72" s="58"/>
      <c r="HS72" s="58"/>
      <c r="HT72" s="58"/>
      <c r="HU72" s="58"/>
      <c r="HV72" s="58"/>
      <c r="HW72" s="58"/>
      <c r="HX72" s="58"/>
      <c r="HY72" s="58"/>
      <c r="HZ72" s="58"/>
      <c r="IA72" s="58"/>
      <c r="IB72" s="58"/>
      <c r="IC72" s="58"/>
      <c r="ID72" s="58"/>
      <c r="IE72" s="58"/>
      <c r="IF72" s="58"/>
      <c r="IG72" s="58"/>
      <c r="IH72" s="58"/>
      <c r="II72" s="58"/>
      <c r="IJ72" s="58"/>
      <c r="IK72" s="58"/>
      <c r="IL72" s="58"/>
      <c r="IM72" s="58"/>
      <c r="KO72" s="84"/>
      <c r="KP72" s="85"/>
      <c r="KQ72" s="85"/>
      <c r="KR72" s="85"/>
      <c r="KS72" s="85"/>
      <c r="KT72" s="85"/>
      <c r="KU72" s="85"/>
      <c r="KV72" s="85"/>
      <c r="KW72" s="86"/>
    </row>
    <row r="73" spans="1:309" s="30" customFormat="1" ht="15" hidden="1" thickBot="1" x14ac:dyDescent="0.35">
      <c r="A73" s="78" t="s">
        <v>463</v>
      </c>
      <c r="B73" s="78" t="s">
        <v>57</v>
      </c>
      <c r="C73" s="78" t="s">
        <v>25</v>
      </c>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79"/>
      <c r="AH73" s="58"/>
      <c r="AI73" s="58"/>
      <c r="AJ73" s="58"/>
      <c r="AK73" s="58"/>
      <c r="AL73" s="58"/>
      <c r="AM73" s="58"/>
      <c r="AN73" s="58"/>
      <c r="AO73" s="58"/>
      <c r="AP73" s="58"/>
      <c r="AQ73" s="58"/>
      <c r="AR73" s="58"/>
      <c r="AS73" s="58"/>
      <c r="AT73" s="58"/>
      <c r="AU73" s="58"/>
      <c r="AV73" s="58"/>
      <c r="AW73" s="58"/>
      <c r="AX73" s="58"/>
      <c r="AY73" s="58"/>
      <c r="AZ73" s="58"/>
      <c r="BA73" s="58"/>
      <c r="BB73" s="58"/>
      <c r="BC73" s="58"/>
      <c r="BD73" s="58"/>
      <c r="BE73" s="58"/>
      <c r="BF73" s="58"/>
      <c r="BG73" s="58"/>
      <c r="BH73" s="58"/>
      <c r="BI73" s="58"/>
      <c r="BJ73" s="58"/>
      <c r="BK73" s="58"/>
      <c r="BL73" s="68"/>
      <c r="BM73" s="66"/>
      <c r="BN73" s="66"/>
      <c r="BO73" s="66"/>
      <c r="BP73" s="66"/>
      <c r="BQ73" s="66"/>
      <c r="BR73" s="66"/>
      <c r="BS73" s="66"/>
      <c r="BT73" s="66"/>
      <c r="BU73" s="66"/>
      <c r="BV73" s="67"/>
      <c r="BW73" s="58"/>
      <c r="BX73" s="58"/>
      <c r="BY73" s="58"/>
      <c r="BZ73" s="58"/>
      <c r="CA73" s="58"/>
      <c r="CB73" s="58"/>
      <c r="CC73" s="58"/>
      <c r="CD73" s="58"/>
      <c r="CE73" s="58"/>
      <c r="CF73" s="58"/>
      <c r="CG73" s="58"/>
      <c r="CH73" s="58"/>
      <c r="CI73" s="58"/>
      <c r="CJ73" s="58"/>
      <c r="CK73" s="58"/>
      <c r="CL73" s="58"/>
      <c r="CM73" s="58"/>
      <c r="CN73" s="58"/>
      <c r="CO73" s="58"/>
      <c r="CP73" s="58"/>
      <c r="CQ73" s="58"/>
      <c r="CR73" s="58"/>
      <c r="CS73" s="58"/>
      <c r="CT73" s="58"/>
      <c r="CU73" s="58"/>
      <c r="CV73" s="58"/>
      <c r="CW73" s="58"/>
      <c r="CX73" s="58"/>
      <c r="CY73" s="58"/>
      <c r="CZ73" s="58"/>
      <c r="DA73" s="58"/>
      <c r="DB73" s="58"/>
      <c r="DC73" s="58"/>
      <c r="DD73" s="58"/>
      <c r="DE73" s="58"/>
      <c r="DF73" s="58"/>
      <c r="DG73" s="58"/>
      <c r="DH73" s="58"/>
      <c r="DI73" s="58"/>
      <c r="DJ73" s="58"/>
      <c r="DK73" s="58"/>
      <c r="DL73" s="58"/>
      <c r="DM73" s="58"/>
      <c r="DN73" s="58"/>
      <c r="DO73" s="58"/>
      <c r="DP73" s="58"/>
      <c r="DQ73" s="58"/>
      <c r="DR73" s="58"/>
      <c r="DS73" s="58"/>
      <c r="DT73" s="58"/>
      <c r="DU73" s="58"/>
      <c r="DV73" s="58"/>
      <c r="DW73" s="58"/>
      <c r="DX73" s="58"/>
      <c r="DY73" s="58"/>
      <c r="DZ73" s="58"/>
      <c r="EA73" s="58"/>
      <c r="EB73" s="58"/>
      <c r="EC73" s="58"/>
      <c r="ED73" s="58"/>
      <c r="EE73" s="58"/>
      <c r="EF73" s="58"/>
      <c r="EG73" s="58"/>
      <c r="EH73" s="58"/>
      <c r="EI73" s="58"/>
      <c r="EJ73" s="58"/>
      <c r="EK73" s="58"/>
      <c r="EL73" s="58"/>
      <c r="EM73" s="58"/>
      <c r="EN73" s="58"/>
      <c r="EO73" s="58"/>
      <c r="EP73" s="58"/>
      <c r="EQ73" s="58"/>
      <c r="ER73" s="58"/>
      <c r="ES73" s="58"/>
      <c r="ET73" s="58"/>
      <c r="EU73" s="58"/>
      <c r="EV73" s="58"/>
      <c r="EW73" s="58"/>
      <c r="EX73" s="58"/>
      <c r="EY73" s="58"/>
      <c r="EZ73" s="58"/>
      <c r="FA73" s="58"/>
      <c r="FB73" s="58"/>
      <c r="FC73" s="58"/>
      <c r="FD73" s="58"/>
      <c r="FE73" s="58"/>
      <c r="FF73" s="58"/>
      <c r="FG73" s="58"/>
      <c r="FH73" s="58"/>
      <c r="FI73" s="58"/>
      <c r="FJ73" s="58"/>
      <c r="FK73" s="58"/>
      <c r="FL73" s="58"/>
      <c r="FM73" s="58"/>
      <c r="FN73" s="58"/>
      <c r="FO73" s="58"/>
      <c r="FP73" s="58"/>
      <c r="FQ73" s="58"/>
      <c r="FR73" s="58"/>
      <c r="FS73" s="58"/>
      <c r="FT73" s="58"/>
      <c r="FU73" s="58"/>
      <c r="FV73" s="58"/>
      <c r="FW73" s="58"/>
      <c r="FX73" s="58"/>
      <c r="FY73" s="58"/>
      <c r="FZ73" s="58"/>
      <c r="GA73" s="58"/>
      <c r="GB73" s="58"/>
      <c r="GC73" s="58"/>
      <c r="GD73" s="58"/>
      <c r="GE73" s="58"/>
      <c r="GF73" s="58"/>
      <c r="GG73" s="58"/>
      <c r="GH73" s="58"/>
      <c r="GI73" s="58"/>
      <c r="GJ73" s="58"/>
      <c r="GK73" s="58"/>
      <c r="GL73" s="58"/>
      <c r="GM73" s="58"/>
      <c r="GN73" s="58"/>
      <c r="GO73" s="58"/>
      <c r="GP73" s="58"/>
      <c r="GQ73" s="58"/>
      <c r="GR73" s="58"/>
      <c r="GS73" s="58"/>
      <c r="GT73" s="58"/>
      <c r="GU73" s="58"/>
      <c r="GV73" s="58"/>
      <c r="GW73" s="58"/>
      <c r="GX73" s="58"/>
      <c r="GY73" s="58"/>
      <c r="GZ73" s="58"/>
      <c r="HA73" s="58"/>
      <c r="HB73" s="58"/>
      <c r="HC73" s="58"/>
      <c r="HD73" s="58"/>
      <c r="HE73" s="58"/>
      <c r="HF73" s="58"/>
      <c r="HG73" s="58"/>
      <c r="HH73" s="58"/>
      <c r="HI73" s="58"/>
      <c r="HJ73" s="58"/>
      <c r="HK73" s="58"/>
      <c r="HL73" s="58"/>
      <c r="HM73" s="58"/>
      <c r="HN73" s="58"/>
      <c r="HO73" s="58"/>
      <c r="HP73" s="58"/>
      <c r="HQ73" s="58"/>
      <c r="HR73" s="58"/>
      <c r="HS73" s="58"/>
      <c r="HT73" s="58"/>
      <c r="HU73" s="58"/>
      <c r="HV73" s="58"/>
      <c r="HW73" s="58"/>
      <c r="HX73" s="58"/>
      <c r="HY73" s="58"/>
      <c r="HZ73" s="58"/>
      <c r="IA73" s="58"/>
      <c r="IB73" s="58"/>
      <c r="IC73" s="58"/>
      <c r="ID73" s="58"/>
      <c r="IE73" s="58"/>
      <c r="IF73" s="58"/>
      <c r="IG73" s="58"/>
      <c r="IH73" s="58"/>
      <c r="II73" s="58"/>
      <c r="IJ73" s="58"/>
      <c r="IK73" s="58"/>
      <c r="IL73" s="58"/>
      <c r="IM73" s="58"/>
      <c r="KO73" s="84"/>
      <c r="KP73" s="85"/>
      <c r="KQ73" s="85"/>
      <c r="KR73" s="85"/>
      <c r="KS73" s="85"/>
      <c r="KT73" s="85"/>
      <c r="KU73" s="85"/>
      <c r="KV73" s="85"/>
      <c r="KW73" s="86"/>
    </row>
    <row r="74" spans="1:309" s="30" customFormat="1" ht="15" hidden="1" thickBot="1" x14ac:dyDescent="0.35">
      <c r="A74" s="78" t="s">
        <v>463</v>
      </c>
      <c r="B74" s="78" t="s">
        <v>57</v>
      </c>
      <c r="C74" s="78" t="s">
        <v>25</v>
      </c>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79"/>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68"/>
      <c r="BM74" s="66"/>
      <c r="BN74" s="66"/>
      <c r="BO74" s="66"/>
      <c r="BP74" s="66"/>
      <c r="BQ74" s="66"/>
      <c r="BR74" s="66"/>
      <c r="BS74" s="66"/>
      <c r="BT74" s="66"/>
      <c r="BU74" s="66"/>
      <c r="BV74" s="67"/>
      <c r="BW74" s="58"/>
      <c r="BX74" s="58"/>
      <c r="BY74" s="58"/>
      <c r="BZ74" s="58"/>
      <c r="CA74" s="58"/>
      <c r="CB74" s="58"/>
      <c r="CC74" s="58"/>
      <c r="CD74" s="58"/>
      <c r="CE74" s="58"/>
      <c r="CF74" s="58"/>
      <c r="CG74" s="58"/>
      <c r="CH74" s="58"/>
      <c r="CI74" s="58"/>
      <c r="CJ74" s="58"/>
      <c r="CK74" s="58"/>
      <c r="CL74" s="58"/>
      <c r="CM74" s="58"/>
      <c r="CN74" s="58"/>
      <c r="CO74" s="58"/>
      <c r="CP74" s="58"/>
      <c r="CQ74" s="58"/>
      <c r="CR74" s="58"/>
      <c r="CS74" s="58"/>
      <c r="CT74" s="58"/>
      <c r="CU74" s="58"/>
      <c r="CV74" s="58"/>
      <c r="CW74" s="58"/>
      <c r="CX74" s="58"/>
      <c r="CY74" s="58"/>
      <c r="CZ74" s="58"/>
      <c r="DA74" s="58"/>
      <c r="DB74" s="58"/>
      <c r="DC74" s="58"/>
      <c r="DD74" s="58"/>
      <c r="DE74" s="58"/>
      <c r="DF74" s="58"/>
      <c r="DG74" s="58"/>
      <c r="DH74" s="58"/>
      <c r="DI74" s="58"/>
      <c r="DJ74" s="58"/>
      <c r="DK74" s="58"/>
      <c r="DL74" s="58"/>
      <c r="DM74" s="58"/>
      <c r="DN74" s="58"/>
      <c r="DO74" s="58"/>
      <c r="DP74" s="58"/>
      <c r="DQ74" s="58"/>
      <c r="DR74" s="58"/>
      <c r="DS74" s="58"/>
      <c r="DT74" s="58"/>
      <c r="DU74" s="58"/>
      <c r="DV74" s="58"/>
      <c r="DW74" s="58"/>
      <c r="DX74" s="58"/>
      <c r="DY74" s="58"/>
      <c r="DZ74" s="58"/>
      <c r="EA74" s="58"/>
      <c r="EB74" s="58"/>
      <c r="EC74" s="58"/>
      <c r="ED74" s="58"/>
      <c r="EE74" s="58"/>
      <c r="EF74" s="58"/>
      <c r="EG74" s="58"/>
      <c r="EH74" s="58"/>
      <c r="EI74" s="58"/>
      <c r="EJ74" s="58"/>
      <c r="EK74" s="58"/>
      <c r="EL74" s="58"/>
      <c r="EM74" s="58"/>
      <c r="EN74" s="58"/>
      <c r="EO74" s="58"/>
      <c r="EP74" s="58"/>
      <c r="EQ74" s="58"/>
      <c r="ER74" s="58"/>
      <c r="ES74" s="58"/>
      <c r="ET74" s="58"/>
      <c r="EU74" s="58"/>
      <c r="EV74" s="58"/>
      <c r="EW74" s="58"/>
      <c r="EX74" s="58"/>
      <c r="EY74" s="58"/>
      <c r="EZ74" s="58"/>
      <c r="FA74" s="58"/>
      <c r="FB74" s="58"/>
      <c r="FC74" s="58"/>
      <c r="FD74" s="58"/>
      <c r="FE74" s="58"/>
      <c r="FF74" s="58"/>
      <c r="FG74" s="58"/>
      <c r="FH74" s="58"/>
      <c r="FI74" s="58"/>
      <c r="FJ74" s="58"/>
      <c r="FK74" s="58"/>
      <c r="FL74" s="58"/>
      <c r="FM74" s="58"/>
      <c r="FN74" s="58"/>
      <c r="FO74" s="58"/>
      <c r="FP74" s="58"/>
      <c r="FQ74" s="58"/>
      <c r="FR74" s="58"/>
      <c r="FS74" s="58"/>
      <c r="FT74" s="58"/>
      <c r="FU74" s="58"/>
      <c r="FV74" s="58"/>
      <c r="FW74" s="58"/>
      <c r="FX74" s="58"/>
      <c r="FY74" s="58"/>
      <c r="FZ74" s="58"/>
      <c r="GA74" s="58"/>
      <c r="GB74" s="58"/>
      <c r="GC74" s="58"/>
      <c r="GD74" s="58"/>
      <c r="GE74" s="58"/>
      <c r="GF74" s="58"/>
      <c r="GG74" s="58"/>
      <c r="GH74" s="58"/>
      <c r="GI74" s="58"/>
      <c r="GJ74" s="58"/>
      <c r="GK74" s="58"/>
      <c r="GL74" s="58"/>
      <c r="GM74" s="58"/>
      <c r="GN74" s="58"/>
      <c r="GO74" s="58"/>
      <c r="GP74" s="58"/>
      <c r="GQ74" s="58"/>
      <c r="GR74" s="58"/>
      <c r="GS74" s="58"/>
      <c r="GT74" s="58"/>
      <c r="GU74" s="58"/>
      <c r="GV74" s="58"/>
      <c r="GW74" s="58"/>
      <c r="GX74" s="58"/>
      <c r="GY74" s="58"/>
      <c r="GZ74" s="58"/>
      <c r="HA74" s="58"/>
      <c r="HB74" s="58"/>
      <c r="HC74" s="58"/>
      <c r="HD74" s="58"/>
      <c r="HE74" s="58"/>
      <c r="HF74" s="58"/>
      <c r="HG74" s="58"/>
      <c r="HH74" s="58"/>
      <c r="HI74" s="58"/>
      <c r="HJ74" s="58"/>
      <c r="HK74" s="58"/>
      <c r="HL74" s="58"/>
      <c r="HM74" s="58"/>
      <c r="HN74" s="58"/>
      <c r="HO74" s="58"/>
      <c r="HP74" s="58"/>
      <c r="HQ74" s="58"/>
      <c r="HR74" s="58"/>
      <c r="HS74" s="58"/>
      <c r="HT74" s="58"/>
      <c r="HU74" s="58"/>
      <c r="HV74" s="58"/>
      <c r="HW74" s="58"/>
      <c r="HX74" s="58"/>
      <c r="HY74" s="58"/>
      <c r="HZ74" s="58"/>
      <c r="IA74" s="58"/>
      <c r="IB74" s="58"/>
      <c r="IC74" s="58"/>
      <c r="ID74" s="58"/>
      <c r="IE74" s="58"/>
      <c r="IF74" s="58"/>
      <c r="IG74" s="58"/>
      <c r="IH74" s="58"/>
      <c r="II74" s="58"/>
      <c r="IJ74" s="58"/>
      <c r="IK74" s="58"/>
      <c r="IL74" s="58"/>
      <c r="IM74" s="58"/>
      <c r="IN74" s="58"/>
      <c r="IO74" s="58"/>
      <c r="IP74" s="58"/>
      <c r="IQ74" s="58"/>
      <c r="IR74" s="58"/>
      <c r="IS74" s="58"/>
      <c r="IT74" s="58"/>
      <c r="IU74" s="58"/>
      <c r="IV74" s="58"/>
      <c r="IW74" s="58"/>
      <c r="IX74" s="58"/>
      <c r="IY74" s="58"/>
      <c r="IZ74" s="58"/>
      <c r="JA74" s="58"/>
      <c r="JB74" s="58"/>
      <c r="JC74" s="58"/>
      <c r="JD74" s="58"/>
      <c r="JE74" s="58"/>
      <c r="JF74" s="58"/>
      <c r="JG74" s="58"/>
      <c r="JH74" s="58"/>
      <c r="JI74" s="58"/>
      <c r="JJ74" s="58"/>
      <c r="JK74" s="58"/>
      <c r="JL74" s="58"/>
      <c r="JM74" s="58"/>
      <c r="JN74" s="58"/>
      <c r="JO74" s="58"/>
      <c r="JP74" s="58"/>
      <c r="JQ74" s="58"/>
      <c r="JR74" s="58"/>
      <c r="JS74" s="58"/>
      <c r="JT74" s="58"/>
      <c r="JU74" s="58"/>
      <c r="JV74" s="58"/>
      <c r="JW74" s="58"/>
      <c r="JX74" s="58"/>
      <c r="JY74" s="58"/>
      <c r="JZ74" s="58"/>
      <c r="KA74" s="58"/>
      <c r="KO74" s="84"/>
      <c r="KP74" s="85"/>
      <c r="KQ74" s="85"/>
      <c r="KR74" s="85"/>
      <c r="KS74" s="85"/>
      <c r="KT74" s="85"/>
      <c r="KU74" s="85"/>
      <c r="KV74" s="85"/>
      <c r="KW74" s="86"/>
    </row>
    <row r="75" spans="1:309" s="30" customFormat="1" ht="15" hidden="1" thickBot="1" x14ac:dyDescent="0.35">
      <c r="A75" s="37" t="s">
        <v>605</v>
      </c>
      <c r="B75" s="37" t="s">
        <v>81</v>
      </c>
      <c r="C75" s="37" t="s">
        <v>10</v>
      </c>
      <c r="E75" s="74"/>
      <c r="F75" s="74"/>
      <c r="G75" s="74"/>
      <c r="H75" s="74"/>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58"/>
      <c r="BO75" s="58"/>
      <c r="BP75" s="58"/>
      <c r="BQ75" s="58"/>
      <c r="BR75" s="58"/>
      <c r="BS75" s="58"/>
      <c r="BT75" s="58"/>
      <c r="BU75" s="58"/>
      <c r="BV75" s="58"/>
      <c r="BW75" s="58"/>
      <c r="BX75" s="58"/>
      <c r="BY75" s="58"/>
      <c r="BZ75" s="58"/>
      <c r="CA75" s="58"/>
      <c r="CB75" s="58"/>
      <c r="CC75" s="58"/>
      <c r="CD75" s="58"/>
      <c r="CE75" s="58"/>
      <c r="CF75" s="68"/>
      <c r="CG75" s="66"/>
      <c r="CH75" s="66"/>
      <c r="CI75" s="66"/>
      <c r="CJ75" s="66"/>
      <c r="CK75" s="66"/>
      <c r="CL75" s="66"/>
      <c r="CM75" s="66"/>
      <c r="CN75" s="67"/>
      <c r="CO75" s="58"/>
      <c r="CP75" s="58"/>
      <c r="CQ75" s="58"/>
      <c r="CR75" s="58"/>
      <c r="CS75" s="58"/>
      <c r="CT75" s="58"/>
      <c r="CU75" s="58"/>
      <c r="CV75" s="58"/>
      <c r="CW75" s="58"/>
      <c r="CX75" s="58"/>
      <c r="CY75" s="58"/>
      <c r="CZ75" s="58"/>
      <c r="DA75" s="58"/>
      <c r="DB75" s="58"/>
      <c r="DC75" s="58"/>
      <c r="DD75" s="58"/>
      <c r="DE75" s="58"/>
      <c r="DF75" s="58"/>
      <c r="DG75" s="58"/>
      <c r="DH75" s="58"/>
      <c r="DI75" s="58"/>
      <c r="DJ75" s="58"/>
      <c r="DK75" s="58"/>
      <c r="DL75" s="58"/>
      <c r="DM75" s="58"/>
      <c r="DN75" s="58"/>
      <c r="DO75" s="58"/>
      <c r="DP75" s="58"/>
      <c r="DQ75" s="58"/>
      <c r="DR75" s="58"/>
      <c r="DS75" s="58"/>
      <c r="DT75" s="58"/>
      <c r="DU75" s="58"/>
      <c r="DV75" s="58"/>
      <c r="DW75" s="58"/>
      <c r="DX75" s="58"/>
      <c r="DY75" s="58"/>
      <c r="DZ75" s="58"/>
      <c r="EA75" s="58"/>
      <c r="EB75" s="58"/>
      <c r="EC75" s="58"/>
      <c r="ED75" s="58"/>
      <c r="EE75" s="58"/>
      <c r="EF75" s="58"/>
      <c r="EG75" s="58"/>
      <c r="EH75" s="58"/>
      <c r="EI75" s="58"/>
      <c r="EJ75" s="58"/>
      <c r="EK75" s="58"/>
      <c r="EL75" s="58"/>
      <c r="EM75" s="58"/>
      <c r="EN75" s="58"/>
      <c r="EO75" s="58"/>
      <c r="EP75" s="58"/>
      <c r="EQ75" s="58"/>
      <c r="ER75" s="58"/>
      <c r="ES75" s="58"/>
      <c r="ET75" s="58"/>
      <c r="EU75" s="58"/>
      <c r="EV75" s="58"/>
      <c r="EW75" s="58"/>
      <c r="EX75" s="58"/>
      <c r="EY75" s="58"/>
      <c r="EZ75" s="58"/>
      <c r="FA75" s="58"/>
      <c r="FB75" s="58"/>
      <c r="FC75" s="58"/>
      <c r="FD75" s="58"/>
      <c r="FE75" s="58"/>
      <c r="FF75" s="58"/>
      <c r="FG75" s="58"/>
      <c r="FH75" s="58"/>
      <c r="FI75" s="58"/>
      <c r="FJ75" s="58"/>
      <c r="FK75" s="58"/>
      <c r="FL75" s="58"/>
      <c r="FM75" s="58"/>
      <c r="FN75" s="58"/>
      <c r="FO75" s="58"/>
      <c r="FP75" s="58"/>
      <c r="FQ75" s="58"/>
      <c r="FR75" s="58"/>
      <c r="FS75" s="58"/>
      <c r="FT75" s="58"/>
      <c r="FU75" s="58"/>
      <c r="FV75" s="58"/>
      <c r="FW75" s="58"/>
      <c r="FX75" s="58"/>
      <c r="FY75" s="58"/>
      <c r="FZ75" s="58"/>
      <c r="GA75" s="58"/>
      <c r="GB75" s="58"/>
      <c r="GC75" s="58"/>
      <c r="GD75" s="58"/>
      <c r="GE75" s="58"/>
      <c r="GF75" s="58"/>
      <c r="GG75" s="58"/>
      <c r="GH75" s="58"/>
      <c r="GI75" s="58"/>
      <c r="GJ75" s="58"/>
      <c r="GK75" s="58"/>
      <c r="GL75" s="58"/>
      <c r="GM75" s="58"/>
      <c r="GN75" s="58"/>
      <c r="GO75" s="58"/>
      <c r="GP75" s="58"/>
      <c r="GQ75" s="58"/>
      <c r="GR75" s="58"/>
      <c r="GS75" s="58"/>
      <c r="GT75" s="58"/>
      <c r="GU75" s="58"/>
      <c r="GV75" s="58"/>
      <c r="GW75" s="58"/>
      <c r="GX75" s="58"/>
      <c r="GY75" s="58"/>
      <c r="GZ75" s="58"/>
      <c r="HA75" s="58"/>
      <c r="HB75" s="58"/>
      <c r="HC75" s="58"/>
      <c r="HD75" s="58"/>
      <c r="HE75" s="58"/>
      <c r="HF75" s="58"/>
      <c r="HG75" s="58"/>
      <c r="HH75" s="58"/>
      <c r="HI75" s="58"/>
      <c r="HJ75" s="58"/>
      <c r="HK75" s="58"/>
      <c r="HL75" s="58"/>
      <c r="HM75" s="58"/>
      <c r="HN75" s="58"/>
      <c r="HO75" s="58"/>
      <c r="HP75" s="58"/>
      <c r="HQ75" s="58"/>
      <c r="HR75" s="58"/>
      <c r="HS75" s="58"/>
      <c r="HT75" s="58"/>
      <c r="HU75" s="58"/>
      <c r="HV75" s="58"/>
      <c r="HW75" s="58"/>
      <c r="HX75" s="58"/>
      <c r="HY75" s="58"/>
      <c r="HZ75" s="58"/>
      <c r="IA75" s="58"/>
      <c r="IB75" s="58"/>
      <c r="IC75" s="58"/>
      <c r="ID75" s="58"/>
      <c r="IE75" s="58"/>
      <c r="IF75" s="58"/>
      <c r="IG75" s="58"/>
      <c r="IH75" s="58"/>
      <c r="II75" s="58"/>
      <c r="IJ75" s="58"/>
      <c r="IK75" s="58"/>
      <c r="IL75" s="58"/>
      <c r="IM75" s="58"/>
      <c r="IN75" s="58"/>
      <c r="IO75" s="58"/>
      <c r="IP75" s="58"/>
      <c r="IQ75" s="58"/>
      <c r="IR75" s="58"/>
      <c r="IS75" s="58"/>
      <c r="IT75" s="58"/>
      <c r="IU75" s="58"/>
      <c r="IV75" s="58"/>
      <c r="IW75" s="58"/>
      <c r="IX75" s="58"/>
      <c r="IY75" s="58"/>
      <c r="IZ75" s="58"/>
      <c r="JA75" s="58"/>
      <c r="JB75" s="58"/>
      <c r="JC75" s="58"/>
      <c r="JD75" s="58"/>
      <c r="JE75" s="58"/>
      <c r="JF75" s="58"/>
      <c r="JG75" s="58"/>
      <c r="JH75" s="58"/>
      <c r="JI75" s="58"/>
      <c r="JJ75" s="58"/>
      <c r="JK75" s="58"/>
      <c r="JL75" s="58"/>
      <c r="JM75" s="58"/>
      <c r="JN75" s="58"/>
      <c r="JO75" s="58"/>
      <c r="JP75" s="58"/>
      <c r="JQ75" s="58"/>
      <c r="JR75" s="58"/>
      <c r="JS75" s="58"/>
      <c r="JT75" s="58"/>
      <c r="JU75" s="58"/>
      <c r="JV75" s="58"/>
      <c r="JW75" s="58"/>
      <c r="JX75" s="58"/>
      <c r="JY75" s="58"/>
      <c r="JZ75" s="58"/>
      <c r="KA75" s="58"/>
    </row>
    <row r="76" spans="1:309" s="30" customFormat="1" ht="15" hidden="1" thickBot="1" x14ac:dyDescent="0.35">
      <c r="A76" s="19" t="s">
        <v>605</v>
      </c>
      <c r="B76" s="19" t="s">
        <v>55</v>
      </c>
      <c r="C76" s="19" t="s">
        <v>22</v>
      </c>
      <c r="E76" s="59"/>
      <c r="F76" s="72"/>
      <c r="G76" s="72"/>
      <c r="H76" s="72"/>
      <c r="I76" s="58"/>
      <c r="J76" s="58"/>
      <c r="K76" s="58"/>
      <c r="L76" s="58"/>
      <c r="M76" s="68"/>
      <c r="N76" s="66"/>
      <c r="O76" s="66"/>
      <c r="P76" s="66"/>
      <c r="Q76" s="66"/>
      <c r="R76" s="67"/>
      <c r="S76" s="68"/>
      <c r="T76" s="66"/>
      <c r="U76" s="66"/>
      <c r="V76" s="66"/>
      <c r="W76" s="66"/>
      <c r="X76" s="66"/>
      <c r="Y76" s="66"/>
      <c r="Z76" s="66"/>
      <c r="AA76" s="66"/>
      <c r="AB76" s="66"/>
      <c r="AC76" s="67"/>
      <c r="AD76" s="58"/>
      <c r="AE76" s="58"/>
      <c r="AF76" s="58" t="s">
        <v>263</v>
      </c>
      <c r="AG76" s="58" t="s">
        <v>263</v>
      </c>
      <c r="AH76" s="58" t="s">
        <v>263</v>
      </c>
      <c r="AI76" s="58" t="s">
        <v>263</v>
      </c>
      <c r="AJ76" s="58" t="s">
        <v>263</v>
      </c>
      <c r="AK76" s="58" t="s">
        <v>263</v>
      </c>
      <c r="AL76" s="58" t="s">
        <v>263</v>
      </c>
      <c r="AM76" s="58" t="s">
        <v>263</v>
      </c>
      <c r="AN76" s="58" t="s">
        <v>263</v>
      </c>
      <c r="AO76" s="58" t="s">
        <v>263</v>
      </c>
      <c r="AP76" s="58" t="s">
        <v>263</v>
      </c>
      <c r="AQ76" s="58" t="s">
        <v>263</v>
      </c>
      <c r="AR76" s="58" t="s">
        <v>263</v>
      </c>
      <c r="AS76" s="58" t="s">
        <v>263</v>
      </c>
      <c r="AT76" s="58" t="s">
        <v>263</v>
      </c>
      <c r="AU76" s="58" t="s">
        <v>263</v>
      </c>
      <c r="AV76" s="58" t="s">
        <v>263</v>
      </c>
      <c r="AW76" s="58" t="s">
        <v>263</v>
      </c>
      <c r="AX76" s="58" t="s">
        <v>263</v>
      </c>
      <c r="AY76" s="58" t="s">
        <v>263</v>
      </c>
      <c r="AZ76" s="58" t="s">
        <v>263</v>
      </c>
      <c r="BA76" s="58" t="s">
        <v>263</v>
      </c>
      <c r="BB76" s="58" t="s">
        <v>263</v>
      </c>
      <c r="BC76" s="58" t="s">
        <v>263</v>
      </c>
      <c r="BD76" s="58" t="s">
        <v>263</v>
      </c>
      <c r="BE76" s="58" t="s">
        <v>263</v>
      </c>
      <c r="BF76" s="58" t="s">
        <v>263</v>
      </c>
      <c r="BG76" s="58" t="s">
        <v>263</v>
      </c>
      <c r="BH76" s="58" t="s">
        <v>263</v>
      </c>
      <c r="BI76" s="58" t="s">
        <v>263</v>
      </c>
      <c r="BJ76" s="58" t="s">
        <v>263</v>
      </c>
      <c r="BK76" s="58" t="s">
        <v>263</v>
      </c>
      <c r="BL76" s="58" t="s">
        <v>263</v>
      </c>
      <c r="BM76" s="58" t="s">
        <v>263</v>
      </c>
      <c r="BN76" s="58" t="s">
        <v>263</v>
      </c>
      <c r="BO76" s="58" t="s">
        <v>263</v>
      </c>
      <c r="BP76" s="58" t="s">
        <v>263</v>
      </c>
      <c r="BQ76" s="58" t="s">
        <v>263</v>
      </c>
      <c r="BR76" s="58" t="s">
        <v>263</v>
      </c>
      <c r="BS76" s="58" t="s">
        <v>263</v>
      </c>
      <c r="BT76" s="58" t="s">
        <v>263</v>
      </c>
      <c r="BU76" s="58" t="s">
        <v>263</v>
      </c>
      <c r="BV76" s="58" t="s">
        <v>263</v>
      </c>
      <c r="BW76" s="58" t="s">
        <v>263</v>
      </c>
      <c r="BX76" s="58" t="s">
        <v>263</v>
      </c>
      <c r="BY76" s="58" t="s">
        <v>263</v>
      </c>
      <c r="BZ76" s="58" t="s">
        <v>263</v>
      </c>
      <c r="CA76" s="58" t="s">
        <v>263</v>
      </c>
      <c r="CB76" s="58" t="s">
        <v>263</v>
      </c>
      <c r="CC76" s="58" t="s">
        <v>263</v>
      </c>
      <c r="CD76" s="58" t="s">
        <v>263</v>
      </c>
      <c r="CE76" s="58" t="s">
        <v>263</v>
      </c>
      <c r="CF76" s="58" t="s">
        <v>263</v>
      </c>
      <c r="CG76" s="58" t="s">
        <v>263</v>
      </c>
      <c r="CH76" s="58" t="s">
        <v>263</v>
      </c>
      <c r="CI76" s="58" t="s">
        <v>263</v>
      </c>
      <c r="CJ76" s="58" t="s">
        <v>263</v>
      </c>
      <c r="CK76" s="58" t="s">
        <v>263</v>
      </c>
      <c r="CL76" s="58" t="s">
        <v>263</v>
      </c>
      <c r="CM76" s="58" t="s">
        <v>263</v>
      </c>
      <c r="CN76" s="58" t="s">
        <v>263</v>
      </c>
      <c r="CO76" s="58" t="s">
        <v>263</v>
      </c>
      <c r="CP76" s="58" t="s">
        <v>263</v>
      </c>
      <c r="CQ76" s="58" t="s">
        <v>263</v>
      </c>
      <c r="CR76" s="58" t="s">
        <v>263</v>
      </c>
      <c r="CS76" s="58" t="s">
        <v>263</v>
      </c>
      <c r="CT76" s="58" t="s">
        <v>263</v>
      </c>
      <c r="CU76" s="58" t="s">
        <v>263</v>
      </c>
      <c r="CV76" s="58"/>
      <c r="CW76" s="58"/>
      <c r="CX76" s="58"/>
      <c r="CY76" s="58"/>
      <c r="CZ76" s="58"/>
      <c r="DA76" s="58"/>
      <c r="DB76" s="58"/>
      <c r="DC76" s="58"/>
      <c r="DD76" s="58"/>
      <c r="DE76" s="58"/>
      <c r="DF76" s="58"/>
      <c r="DG76" s="58"/>
      <c r="DH76" s="58"/>
      <c r="DI76" s="58"/>
      <c r="DJ76" s="58"/>
      <c r="DK76" s="58"/>
      <c r="DL76" s="58"/>
      <c r="DM76" s="58"/>
      <c r="DN76" s="58"/>
      <c r="DO76" s="58"/>
      <c r="DP76" s="58"/>
      <c r="DQ76" s="58"/>
      <c r="DR76" s="58"/>
      <c r="DS76" s="58"/>
      <c r="DT76" s="58"/>
      <c r="DU76" s="58"/>
      <c r="DV76" s="58"/>
      <c r="DW76" s="58"/>
      <c r="DX76" s="58"/>
      <c r="DY76" s="58"/>
      <c r="DZ76" s="58"/>
      <c r="EA76" s="58"/>
      <c r="EB76" s="58"/>
      <c r="EC76" s="58"/>
      <c r="ED76" s="58"/>
      <c r="EE76" s="58"/>
      <c r="EF76" s="58"/>
      <c r="EG76" s="58"/>
      <c r="EH76" s="58"/>
      <c r="EI76" s="58"/>
      <c r="EJ76" s="58"/>
      <c r="EK76" s="58"/>
      <c r="EL76" s="58"/>
      <c r="EM76" s="58"/>
      <c r="EN76" s="58"/>
      <c r="EO76" s="58"/>
      <c r="EP76" s="58"/>
      <c r="EQ76" s="58"/>
      <c r="ER76" s="58"/>
      <c r="ES76" s="58"/>
      <c r="ET76" s="58"/>
      <c r="EU76" s="58"/>
      <c r="EV76" s="58"/>
      <c r="EW76" s="58"/>
      <c r="EX76" s="58"/>
      <c r="EY76" s="58"/>
      <c r="EZ76" s="58"/>
      <c r="FA76" s="58"/>
      <c r="FB76" s="58"/>
      <c r="FC76" s="58"/>
      <c r="FD76" s="58"/>
      <c r="FE76" s="58"/>
      <c r="FF76" s="58"/>
      <c r="FG76" s="58"/>
      <c r="FH76" s="58"/>
      <c r="FI76" s="58"/>
      <c r="FJ76" s="58"/>
      <c r="FK76" s="58"/>
      <c r="FL76" s="58"/>
      <c r="FM76" s="58"/>
      <c r="FN76" s="58"/>
      <c r="FO76" s="58"/>
      <c r="FP76" s="58"/>
      <c r="FQ76" s="58"/>
      <c r="FR76" s="58"/>
      <c r="FS76" s="58"/>
      <c r="FT76" s="58"/>
      <c r="FU76" s="58"/>
      <c r="FV76" s="58"/>
      <c r="FW76" s="58"/>
      <c r="FX76" s="58"/>
      <c r="FY76" s="58"/>
      <c r="FZ76" s="58"/>
      <c r="GA76" s="58"/>
      <c r="GB76" s="58"/>
      <c r="GC76" s="58"/>
      <c r="GD76" s="58"/>
      <c r="GE76" s="58"/>
      <c r="GF76" s="58"/>
      <c r="GG76" s="58"/>
      <c r="GH76" s="58"/>
      <c r="GI76" s="58"/>
      <c r="GJ76" s="58"/>
      <c r="GK76" s="58"/>
      <c r="GL76" s="58"/>
      <c r="GM76" s="58"/>
      <c r="GN76" s="58"/>
      <c r="GO76" s="58"/>
      <c r="GP76" s="58"/>
      <c r="GQ76" s="58"/>
      <c r="GR76" s="58"/>
      <c r="GS76" s="58"/>
      <c r="GT76" s="58"/>
      <c r="GU76" s="58"/>
      <c r="GV76" s="58"/>
      <c r="GW76" s="58"/>
      <c r="GX76" s="58"/>
      <c r="GY76" s="58"/>
      <c r="GZ76" s="58"/>
      <c r="HA76" s="58"/>
      <c r="HB76" s="58"/>
      <c r="HC76" s="58"/>
      <c r="HD76" s="58"/>
      <c r="HE76" s="58"/>
      <c r="HF76" s="58"/>
      <c r="HG76" s="58"/>
      <c r="HH76" s="58"/>
      <c r="HI76" s="58"/>
      <c r="HJ76" s="58"/>
      <c r="HK76" s="58"/>
      <c r="HL76" s="58"/>
      <c r="HM76" s="58"/>
      <c r="HN76" s="58"/>
      <c r="HO76" s="58"/>
      <c r="HP76" s="58"/>
      <c r="HQ76" s="58"/>
      <c r="HR76" s="58"/>
      <c r="HS76" s="58"/>
      <c r="HT76" s="58"/>
      <c r="HU76" s="58"/>
      <c r="HV76" s="58"/>
      <c r="HW76" s="58"/>
      <c r="HX76" s="58"/>
      <c r="HY76" s="58"/>
      <c r="HZ76" s="58"/>
      <c r="IA76" s="58"/>
      <c r="IB76" s="58"/>
      <c r="IC76" s="58"/>
      <c r="ID76" s="58"/>
      <c r="IE76" s="58"/>
      <c r="IF76" s="58"/>
      <c r="IG76" s="58"/>
      <c r="IH76" s="58"/>
      <c r="II76" s="58"/>
      <c r="IJ76" s="58"/>
      <c r="IK76" s="58"/>
      <c r="IL76" s="58"/>
      <c r="IM76" s="58"/>
      <c r="IN76" s="58"/>
      <c r="IO76" s="58"/>
      <c r="IP76" s="58"/>
      <c r="IQ76" s="58"/>
      <c r="IR76" s="58"/>
      <c r="IS76" s="58"/>
      <c r="IT76" s="58"/>
      <c r="IU76" s="58"/>
      <c r="IV76" s="58"/>
      <c r="IW76" s="58"/>
      <c r="IX76" s="58"/>
      <c r="IY76" s="58"/>
      <c r="IZ76" s="58"/>
      <c r="JA76" s="58"/>
      <c r="JB76" s="58"/>
      <c r="JC76" s="58"/>
      <c r="JD76" s="58"/>
      <c r="JE76" s="58"/>
      <c r="JF76" s="58"/>
      <c r="JG76" s="58"/>
      <c r="JH76" s="58"/>
      <c r="JI76" s="58"/>
      <c r="JJ76" s="58"/>
      <c r="JK76" s="58"/>
      <c r="JL76" s="58"/>
      <c r="JM76" s="58"/>
      <c r="JN76" s="58"/>
      <c r="JO76" s="58"/>
      <c r="JP76" s="58"/>
      <c r="JQ76" s="58"/>
      <c r="JR76" s="58"/>
      <c r="JS76" s="58"/>
      <c r="JT76" s="58"/>
      <c r="JU76" s="58"/>
      <c r="JV76" s="58"/>
      <c r="JW76" s="58"/>
      <c r="JX76" s="58"/>
      <c r="JY76" s="58"/>
      <c r="JZ76" s="58"/>
      <c r="KA76" s="58"/>
      <c r="KB76" s="58"/>
      <c r="KC76" s="58"/>
      <c r="KD76" s="58"/>
      <c r="KE76" s="58"/>
      <c r="KF76" s="58"/>
      <c r="KG76" s="58"/>
      <c r="KH76" s="58"/>
    </row>
    <row r="77" spans="1:309" s="30" customFormat="1" ht="15" hidden="1" thickBot="1" x14ac:dyDescent="0.35">
      <c r="A77" s="20" t="s">
        <v>605</v>
      </c>
      <c r="B77" s="20" t="s">
        <v>371</v>
      </c>
      <c r="C77" s="20" t="s">
        <v>27</v>
      </c>
      <c r="E77" s="58"/>
      <c r="F77" s="187"/>
      <c r="G77" s="187"/>
      <c r="H77" s="187"/>
      <c r="I77" s="187"/>
      <c r="J77" s="187"/>
      <c r="K77" s="187"/>
      <c r="L77" s="187"/>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c r="BM77" s="58"/>
      <c r="BN77" s="58"/>
      <c r="BO77" s="58"/>
      <c r="BP77" s="58"/>
      <c r="BQ77" s="58"/>
      <c r="BR77" s="58"/>
      <c r="BS77" s="58"/>
      <c r="BT77" s="58"/>
      <c r="BU77" s="58"/>
      <c r="BV77" s="58"/>
      <c r="BW77" s="58"/>
      <c r="BX77" s="58"/>
      <c r="BY77" s="58"/>
      <c r="BZ77" s="58"/>
      <c r="CA77" s="58"/>
      <c r="CB77" s="58"/>
      <c r="CC77" s="58"/>
      <c r="CD77" s="58"/>
      <c r="CE77" s="58"/>
      <c r="CF77" s="58"/>
      <c r="CG77" s="58"/>
      <c r="CH77" s="58"/>
      <c r="CI77" s="58"/>
      <c r="CJ77" s="58"/>
      <c r="CK77" s="58"/>
      <c r="CL77" s="58"/>
      <c r="CM77" s="58"/>
      <c r="CN77" s="58"/>
      <c r="CO77" s="58"/>
      <c r="CP77" s="58"/>
      <c r="CQ77" s="58"/>
      <c r="CR77" s="58"/>
      <c r="CS77" s="58"/>
      <c r="CT77" s="58"/>
      <c r="CU77" s="58"/>
      <c r="CV77" s="58"/>
      <c r="CW77" s="58"/>
      <c r="CX77" s="58"/>
      <c r="CY77" s="58"/>
      <c r="CZ77" s="58"/>
      <c r="DA77" s="58"/>
      <c r="DB77" s="58"/>
      <c r="DC77" s="58"/>
      <c r="DD77" s="58"/>
      <c r="DE77" s="58"/>
      <c r="DF77" s="58"/>
      <c r="DG77" s="58"/>
      <c r="DH77" s="58"/>
      <c r="DI77" s="58"/>
      <c r="DJ77" s="58"/>
      <c r="DK77" s="58"/>
      <c r="DL77" s="58"/>
      <c r="DM77" s="58"/>
      <c r="DN77" s="58"/>
      <c r="DO77" s="58"/>
      <c r="DP77" s="58"/>
      <c r="DQ77" s="58"/>
      <c r="DR77" s="58"/>
      <c r="DS77" s="58"/>
      <c r="DT77" s="58"/>
      <c r="DU77" s="58"/>
      <c r="DV77" s="58"/>
      <c r="DW77" s="58"/>
      <c r="DX77" s="58"/>
      <c r="DY77" s="58"/>
      <c r="DZ77" s="58"/>
      <c r="EA77" s="58"/>
      <c r="EB77" s="58"/>
      <c r="EC77" s="58"/>
      <c r="ED77" s="58"/>
      <c r="EE77" s="58"/>
      <c r="EF77" s="58"/>
      <c r="EG77" s="58"/>
      <c r="EH77" s="58"/>
      <c r="EI77" s="58"/>
      <c r="EJ77" s="58"/>
      <c r="EK77" s="58"/>
      <c r="EL77" s="58"/>
      <c r="EM77" s="58"/>
      <c r="EN77" s="58"/>
      <c r="EO77" s="58"/>
      <c r="EP77" s="58"/>
      <c r="EQ77" s="58"/>
      <c r="ER77" s="58"/>
      <c r="ES77" s="58"/>
      <c r="ET77" s="58"/>
      <c r="EU77" s="58"/>
      <c r="EV77" s="58"/>
      <c r="EW77" s="58"/>
      <c r="EX77" s="58"/>
      <c r="EY77" s="58"/>
      <c r="EZ77" s="58"/>
      <c r="FA77" s="58"/>
      <c r="FB77" s="58"/>
      <c r="FC77" s="58"/>
      <c r="FD77" s="58"/>
      <c r="FE77" s="58"/>
      <c r="FF77" s="58"/>
      <c r="FG77" s="58"/>
      <c r="FH77" s="58"/>
      <c r="FI77" s="58"/>
      <c r="FJ77" s="58"/>
      <c r="FK77" s="58"/>
      <c r="FL77" s="58"/>
      <c r="FM77" s="58"/>
      <c r="FN77" s="58"/>
      <c r="FO77" s="58"/>
      <c r="FP77" s="58"/>
      <c r="FQ77" s="58"/>
      <c r="FR77" s="58"/>
      <c r="FS77" s="58"/>
      <c r="FT77" s="58"/>
      <c r="FU77" s="58"/>
      <c r="FV77" s="58"/>
      <c r="FW77" s="58"/>
      <c r="FX77" s="58"/>
      <c r="FY77" s="58"/>
      <c r="FZ77" s="58"/>
      <c r="GA77" s="58"/>
      <c r="GB77" s="58"/>
      <c r="GC77" s="58"/>
      <c r="GD77" s="58"/>
      <c r="GE77" s="58"/>
      <c r="GF77" s="58"/>
      <c r="GG77" s="58"/>
      <c r="GH77" s="58"/>
      <c r="GI77" s="58"/>
      <c r="GJ77" s="58"/>
      <c r="GK77" s="58"/>
      <c r="GL77" s="58"/>
      <c r="GM77" s="58"/>
      <c r="GN77" s="58"/>
      <c r="GO77" s="58"/>
      <c r="GP77" s="58"/>
      <c r="GQ77" s="58"/>
      <c r="GR77" s="58"/>
      <c r="GS77" s="58"/>
      <c r="GT77" s="58"/>
      <c r="GU77" s="58"/>
      <c r="GV77" s="58"/>
      <c r="GW77" s="58"/>
      <c r="GX77" s="58"/>
      <c r="GY77" s="58"/>
      <c r="GZ77" s="58"/>
      <c r="HA77" s="58"/>
      <c r="HB77" s="58"/>
      <c r="HC77" s="58"/>
      <c r="HD77" s="58"/>
      <c r="HE77" s="58"/>
      <c r="HF77" s="58"/>
      <c r="HG77" s="58"/>
      <c r="HH77" s="58"/>
      <c r="HI77" s="58"/>
      <c r="HJ77" s="58"/>
      <c r="HK77" s="58"/>
      <c r="HL77" s="58"/>
      <c r="HM77" s="58"/>
      <c r="HN77" s="58"/>
      <c r="HO77" s="58"/>
      <c r="HP77" s="58"/>
      <c r="HQ77" s="58"/>
      <c r="HR77" s="58"/>
      <c r="HS77" s="58"/>
      <c r="HT77" s="58"/>
      <c r="HU77" s="58"/>
      <c r="HV77" s="58"/>
      <c r="HW77" s="58"/>
      <c r="HX77" s="58"/>
      <c r="HY77" s="58"/>
      <c r="HZ77" s="58"/>
      <c r="IA77" s="58"/>
      <c r="IB77" s="58"/>
      <c r="IC77" s="58"/>
      <c r="ID77" s="58"/>
      <c r="IE77" s="58"/>
      <c r="IF77" s="58"/>
      <c r="IG77" s="58"/>
      <c r="IH77" s="58"/>
      <c r="II77" s="58"/>
      <c r="IJ77" s="58"/>
      <c r="IK77" s="58"/>
      <c r="IL77" s="58"/>
      <c r="IM77" s="58"/>
      <c r="IN77" s="58"/>
      <c r="IO77" s="58"/>
      <c r="IP77" s="58"/>
      <c r="IQ77" s="58"/>
      <c r="IR77" s="58"/>
      <c r="IS77" s="58"/>
      <c r="IT77" s="58"/>
      <c r="IU77" s="58"/>
      <c r="IV77" s="58"/>
      <c r="IW77" s="58"/>
      <c r="IX77" s="58"/>
      <c r="IY77" s="58"/>
      <c r="IZ77" s="58"/>
      <c r="JA77" s="58"/>
      <c r="JB77" s="58"/>
      <c r="JC77" s="58"/>
      <c r="JD77" s="58"/>
      <c r="JE77" s="58"/>
      <c r="JF77" s="58"/>
      <c r="JG77" s="58"/>
      <c r="JH77" s="58"/>
      <c r="JI77" s="58"/>
      <c r="JJ77" s="58"/>
      <c r="JK77" s="58"/>
      <c r="JL77" s="58"/>
      <c r="JM77" s="58"/>
      <c r="JN77" s="58"/>
      <c r="JO77" s="58"/>
      <c r="JP77" s="58"/>
      <c r="JQ77" s="58"/>
      <c r="JR77" s="58"/>
      <c r="JS77" s="58"/>
      <c r="JT77" s="58"/>
      <c r="JU77" s="58"/>
      <c r="JV77" s="58"/>
      <c r="JW77" s="58"/>
      <c r="JX77" s="58"/>
      <c r="JY77" s="58"/>
      <c r="JZ77" s="58"/>
      <c r="KA77" s="58"/>
      <c r="KB77" s="58"/>
      <c r="KC77" s="58"/>
      <c r="KD77" s="58"/>
      <c r="KE77" s="58"/>
      <c r="KF77" s="58"/>
      <c r="KG77" s="58"/>
      <c r="KH77" s="58"/>
    </row>
    <row r="78" spans="1:309" s="30" customFormat="1" ht="15" hidden="1" thickBot="1" x14ac:dyDescent="0.35">
      <c r="A78" s="78" t="s">
        <v>605</v>
      </c>
      <c r="B78" s="78" t="s">
        <v>57</v>
      </c>
      <c r="C78" s="78" t="s">
        <v>25</v>
      </c>
      <c r="E78" s="58"/>
      <c r="F78" s="58"/>
      <c r="G78" s="58"/>
      <c r="H78" s="58"/>
      <c r="I78" s="58"/>
      <c r="J78" s="58"/>
      <c r="K78" s="58"/>
      <c r="L78" s="79"/>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c r="BA78" s="58"/>
      <c r="BB78" s="58"/>
      <c r="BC78" s="58"/>
      <c r="BD78" s="58"/>
      <c r="BE78" s="58"/>
      <c r="BF78" s="58"/>
      <c r="BG78" s="58"/>
      <c r="BH78" s="58"/>
      <c r="BI78" s="58"/>
      <c r="BJ78" s="58"/>
      <c r="BK78" s="58"/>
      <c r="BL78" s="68"/>
      <c r="BM78" s="66"/>
      <c r="BN78" s="66"/>
      <c r="BO78" s="66"/>
      <c r="BP78" s="66"/>
      <c r="BQ78" s="66"/>
      <c r="BR78" s="66"/>
      <c r="BS78" s="66"/>
      <c r="BT78" s="66"/>
      <c r="BU78" s="66"/>
      <c r="BV78" s="67"/>
      <c r="BW78" s="58"/>
      <c r="BX78" s="58"/>
      <c r="BY78" s="58"/>
      <c r="BZ78" s="58"/>
      <c r="CA78" s="58"/>
      <c r="CB78" s="58"/>
      <c r="CC78" s="58"/>
      <c r="CD78" s="58"/>
      <c r="CE78" s="58"/>
      <c r="CF78" s="58"/>
      <c r="CG78" s="58"/>
      <c r="CH78" s="58"/>
      <c r="CI78" s="58"/>
      <c r="CJ78" s="58"/>
      <c r="CK78" s="58"/>
      <c r="CL78" s="58"/>
      <c r="CM78" s="58"/>
      <c r="CN78" s="58"/>
      <c r="CO78" s="58"/>
      <c r="CP78" s="58"/>
      <c r="CQ78" s="58"/>
      <c r="CR78" s="58"/>
      <c r="CS78" s="58"/>
      <c r="CT78" s="58"/>
      <c r="CU78" s="58"/>
      <c r="CV78" s="58"/>
      <c r="CW78" s="58"/>
      <c r="CX78" s="58"/>
      <c r="CY78" s="58"/>
      <c r="CZ78" s="58"/>
      <c r="DA78" s="58"/>
      <c r="DB78" s="58"/>
      <c r="DC78" s="58"/>
      <c r="DD78" s="58"/>
      <c r="DE78" s="58"/>
      <c r="DF78" s="58"/>
      <c r="DG78" s="58"/>
      <c r="DH78" s="58"/>
      <c r="DI78" s="58"/>
      <c r="DJ78" s="58"/>
      <c r="DK78" s="58"/>
      <c r="DL78" s="58"/>
      <c r="DM78" s="58"/>
      <c r="DN78" s="58"/>
      <c r="DO78" s="58"/>
      <c r="DP78" s="58"/>
      <c r="DQ78" s="58"/>
      <c r="DR78" s="58"/>
      <c r="DS78" s="58"/>
      <c r="DT78" s="58"/>
      <c r="DU78" s="58"/>
      <c r="DV78" s="58"/>
      <c r="DW78" s="58"/>
      <c r="DX78" s="58"/>
      <c r="DY78" s="58"/>
      <c r="DZ78" s="58"/>
      <c r="EA78" s="58"/>
      <c r="EB78" s="58"/>
      <c r="EC78" s="58"/>
      <c r="ED78" s="58"/>
      <c r="EE78" s="58"/>
      <c r="EF78" s="58"/>
      <c r="EG78" s="58"/>
      <c r="EH78" s="58"/>
      <c r="EI78" s="58"/>
      <c r="EJ78" s="58"/>
      <c r="EK78" s="58"/>
      <c r="EL78" s="58"/>
      <c r="EM78" s="58"/>
      <c r="EN78" s="58"/>
      <c r="EO78" s="58"/>
      <c r="EP78" s="58"/>
      <c r="EQ78" s="58"/>
      <c r="ER78" s="58"/>
      <c r="ES78" s="58"/>
      <c r="ET78" s="58"/>
      <c r="EU78" s="58"/>
      <c r="EV78" s="58"/>
      <c r="EW78" s="58"/>
      <c r="EX78" s="58"/>
      <c r="EY78" s="58"/>
      <c r="EZ78" s="58"/>
      <c r="FA78" s="58"/>
      <c r="FB78" s="58"/>
      <c r="FC78" s="58"/>
      <c r="FD78" s="58"/>
      <c r="FE78" s="58"/>
      <c r="FF78" s="58"/>
      <c r="FG78" s="58"/>
      <c r="FH78" s="58"/>
      <c r="FI78" s="58"/>
      <c r="FJ78" s="58"/>
      <c r="FK78" s="58"/>
      <c r="FL78" s="58"/>
      <c r="FM78" s="58"/>
      <c r="FN78" s="58"/>
      <c r="FO78" s="58"/>
      <c r="FP78" s="58"/>
      <c r="FQ78" s="58"/>
      <c r="FR78" s="58"/>
      <c r="FS78" s="58"/>
      <c r="FT78" s="58"/>
      <c r="FU78" s="58"/>
      <c r="FV78" s="58"/>
      <c r="FW78" s="58"/>
      <c r="FX78" s="58"/>
      <c r="FY78" s="58"/>
      <c r="FZ78" s="58"/>
      <c r="GA78" s="58"/>
      <c r="GB78" s="58"/>
      <c r="GC78" s="58"/>
      <c r="GD78" s="58"/>
      <c r="GE78" s="58"/>
      <c r="GF78" s="58"/>
      <c r="GG78" s="58"/>
      <c r="GH78" s="58"/>
      <c r="GI78" s="58"/>
      <c r="GJ78" s="58"/>
      <c r="GK78" s="58"/>
      <c r="GL78" s="58"/>
      <c r="GM78" s="58"/>
      <c r="GN78" s="58"/>
      <c r="GO78" s="58"/>
      <c r="GP78" s="58"/>
      <c r="GQ78" s="58"/>
      <c r="GR78" s="58"/>
      <c r="GS78" s="58"/>
      <c r="GT78" s="58"/>
      <c r="GU78" s="58"/>
      <c r="GV78" s="58"/>
      <c r="GW78" s="58"/>
      <c r="GX78" s="58"/>
      <c r="GY78" s="58"/>
      <c r="GZ78" s="58"/>
      <c r="HA78" s="58"/>
      <c r="HB78" s="58"/>
      <c r="HC78" s="58"/>
      <c r="HD78" s="58"/>
      <c r="HE78" s="58"/>
      <c r="HF78" s="58"/>
      <c r="HG78" s="58"/>
      <c r="HH78" s="58"/>
      <c r="HI78" s="58"/>
      <c r="HJ78" s="58"/>
      <c r="HK78" s="58"/>
      <c r="HL78" s="58"/>
      <c r="HM78" s="58"/>
      <c r="HN78" s="58"/>
      <c r="HO78" s="58"/>
      <c r="HP78" s="58"/>
      <c r="HQ78" s="58"/>
      <c r="HR78" s="58"/>
      <c r="HS78" s="58"/>
      <c r="HT78" s="58"/>
      <c r="HU78" s="58"/>
      <c r="HV78" s="58"/>
      <c r="HW78" s="58"/>
      <c r="HX78" s="58"/>
      <c r="HY78" s="58"/>
      <c r="HZ78" s="58"/>
      <c r="IA78" s="58"/>
      <c r="IB78" s="58"/>
      <c r="IC78" s="58"/>
      <c r="ID78" s="58"/>
      <c r="IE78" s="58"/>
      <c r="IF78" s="58"/>
      <c r="IG78" s="58"/>
      <c r="IH78" s="58"/>
      <c r="II78" s="58"/>
      <c r="IJ78" s="58"/>
      <c r="IK78" s="58"/>
      <c r="IL78" s="58"/>
      <c r="IM78" s="58"/>
      <c r="IN78" s="58"/>
      <c r="IO78" s="58"/>
      <c r="IP78" s="58"/>
      <c r="IQ78" s="58"/>
      <c r="IR78" s="58"/>
      <c r="IS78" s="58"/>
      <c r="IT78" s="58"/>
      <c r="IU78" s="58"/>
      <c r="IV78" s="58"/>
      <c r="IW78" s="58"/>
      <c r="IX78" s="58"/>
      <c r="IY78" s="58"/>
      <c r="IZ78" s="58"/>
      <c r="JA78" s="58"/>
      <c r="JB78" s="58"/>
      <c r="JC78" s="58"/>
      <c r="JD78" s="58"/>
      <c r="JE78" s="58"/>
      <c r="JF78" s="58"/>
      <c r="JG78" s="58"/>
      <c r="JH78" s="58"/>
      <c r="JI78" s="58"/>
      <c r="JJ78" s="58"/>
      <c r="JK78" s="58"/>
      <c r="JL78" s="58"/>
      <c r="JM78" s="58"/>
      <c r="JN78" s="58"/>
      <c r="JO78" s="58"/>
      <c r="JP78" s="58"/>
      <c r="JQ78" s="58"/>
      <c r="JR78" s="58"/>
      <c r="JS78" s="58"/>
      <c r="JT78" s="58"/>
      <c r="JU78" s="58"/>
      <c r="JV78" s="58"/>
      <c r="JW78" s="58"/>
      <c r="JX78" s="58"/>
      <c r="JY78" s="58"/>
      <c r="JZ78" s="58"/>
      <c r="KA78" s="58"/>
      <c r="KO78" s="84"/>
      <c r="KP78" s="85"/>
      <c r="KQ78" s="85"/>
      <c r="KR78" s="85"/>
      <c r="KS78" s="85"/>
      <c r="KT78" s="85"/>
      <c r="KU78" s="85"/>
      <c r="KV78" s="85"/>
      <c r="KW78" s="86"/>
    </row>
    <row r="79" spans="1:309" s="30" customFormat="1" x14ac:dyDescent="0.3">
      <c r="A79" s="150" t="s">
        <v>259</v>
      </c>
      <c r="B79" s="150" t="s">
        <v>51</v>
      </c>
      <c r="C79" s="150" t="s">
        <v>7</v>
      </c>
      <c r="E79" s="58"/>
      <c r="F79" s="58"/>
      <c r="G79" s="58"/>
      <c r="H79" s="58"/>
      <c r="I79" s="58"/>
      <c r="J79" s="58"/>
      <c r="K79" s="58"/>
      <c r="L79" s="58"/>
      <c r="M79" s="58"/>
      <c r="N79" s="58"/>
      <c r="O79" s="58"/>
      <c r="P79" s="58"/>
      <c r="Q79" s="58"/>
      <c r="R79" s="58"/>
      <c r="S79" s="58"/>
      <c r="T79" s="58"/>
      <c r="U79" s="58"/>
      <c r="V79" s="58"/>
      <c r="W79" s="58"/>
      <c r="X79" s="58"/>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49"/>
      <c r="BC79" s="149"/>
      <c r="BD79" s="149"/>
      <c r="BE79" s="149"/>
      <c r="BF79" s="149"/>
      <c r="BG79" s="149"/>
      <c r="BH79" s="149"/>
      <c r="BI79" s="149"/>
      <c r="BJ79" s="149"/>
      <c r="BK79" s="149"/>
      <c r="BL79" s="149"/>
      <c r="BM79" s="149"/>
      <c r="BN79" s="151"/>
      <c r="BO79" s="151"/>
      <c r="BP79" s="151"/>
      <c r="BQ79" s="151"/>
      <c r="BR79" s="151"/>
      <c r="BS79" s="151"/>
      <c r="BT79" s="151"/>
      <c r="BU79" s="151"/>
      <c r="BV79" s="151"/>
      <c r="BW79" s="151"/>
      <c r="BX79" s="151"/>
      <c r="BY79" s="151"/>
      <c r="BZ79" s="151"/>
      <c r="CA79" s="151"/>
      <c r="CB79" s="151"/>
      <c r="CC79" s="151"/>
      <c r="CD79" s="151"/>
      <c r="CE79" s="151"/>
      <c r="CF79" s="151"/>
      <c r="CG79" s="151"/>
      <c r="CH79" s="151"/>
      <c r="CI79" s="151"/>
      <c r="CJ79" s="151"/>
      <c r="CK79" s="151"/>
      <c r="CL79" s="151"/>
      <c r="CM79" s="151"/>
      <c r="CN79" s="151"/>
      <c r="CO79" s="151"/>
      <c r="CP79" s="151"/>
      <c r="CQ79" s="151"/>
      <c r="CR79" s="151"/>
      <c r="CS79" s="151"/>
      <c r="CT79" s="151"/>
      <c r="CU79" s="151"/>
      <c r="CV79" s="151"/>
      <c r="CW79" s="151"/>
      <c r="CX79" s="151"/>
      <c r="CY79" s="151"/>
      <c r="CZ79" s="151"/>
      <c r="DA79" s="151"/>
      <c r="DB79" s="151"/>
      <c r="DC79" s="151"/>
      <c r="DD79" s="151"/>
      <c r="DE79" s="151"/>
      <c r="DF79" s="151"/>
      <c r="DG79" s="151"/>
      <c r="DH79" s="151"/>
      <c r="DI79" s="151"/>
      <c r="DJ79" s="151"/>
      <c r="DK79" s="151"/>
      <c r="DL79" s="151"/>
      <c r="DM79" s="151"/>
      <c r="DN79" s="151"/>
      <c r="DO79" s="151"/>
      <c r="DP79" s="151"/>
      <c r="DQ79" s="151"/>
      <c r="DR79" s="151"/>
      <c r="DS79" s="151"/>
      <c r="DT79" s="151"/>
      <c r="DU79" s="151"/>
      <c r="DV79" s="151"/>
      <c r="DW79" s="151"/>
      <c r="DX79" s="151"/>
      <c r="DY79" s="151"/>
      <c r="DZ79" s="151"/>
      <c r="EA79" s="151"/>
      <c r="EB79" s="151"/>
      <c r="EC79" s="151"/>
      <c r="ED79" s="151"/>
      <c r="EE79" s="151"/>
      <c r="EF79" s="151"/>
      <c r="EG79" s="151"/>
      <c r="EH79" s="151"/>
      <c r="EI79" s="151"/>
      <c r="EJ79" s="151"/>
      <c r="EK79" s="151"/>
      <c r="EL79" s="151"/>
      <c r="EM79" s="151"/>
      <c r="EN79" s="151"/>
      <c r="EO79" s="151"/>
      <c r="EP79" s="151"/>
      <c r="EQ79" s="151"/>
      <c r="ER79" s="151"/>
      <c r="ES79" s="151"/>
      <c r="ET79" s="151"/>
      <c r="EU79" s="151"/>
      <c r="EV79" s="151"/>
      <c r="EW79" s="151"/>
      <c r="EX79" s="151"/>
      <c r="EY79" s="151"/>
      <c r="EZ79" s="151"/>
      <c r="FA79" s="151"/>
      <c r="FB79" s="151"/>
      <c r="FC79" s="151"/>
      <c r="FD79" s="151"/>
      <c r="FE79" s="151"/>
      <c r="FF79" s="151"/>
      <c r="FG79" s="151"/>
      <c r="FH79" s="151"/>
      <c r="FI79" s="151"/>
      <c r="FJ79" s="151"/>
      <c r="FK79" s="151"/>
      <c r="FL79" s="151"/>
      <c r="FM79" s="151"/>
      <c r="FN79" s="151"/>
      <c r="FO79" s="151"/>
      <c r="FP79" s="151"/>
      <c r="FQ79" s="151"/>
      <c r="FR79" s="151"/>
      <c r="FS79" s="151"/>
      <c r="FT79" s="151"/>
      <c r="FU79" s="151"/>
      <c r="FV79" s="151"/>
      <c r="FW79" s="151"/>
      <c r="FX79" s="151"/>
      <c r="FY79" s="151"/>
      <c r="FZ79" s="151"/>
      <c r="GA79" s="151"/>
      <c r="GB79" s="151"/>
      <c r="GC79" s="151"/>
      <c r="GD79" s="151"/>
      <c r="GE79" s="151"/>
      <c r="GF79" s="151"/>
      <c r="GG79" s="151"/>
      <c r="GH79" s="151"/>
      <c r="GI79" s="151"/>
      <c r="GJ79" s="151"/>
      <c r="GK79" s="151"/>
      <c r="GL79" s="151"/>
      <c r="GM79" s="151"/>
      <c r="GN79" s="151"/>
      <c r="GO79" s="151"/>
      <c r="GP79" s="151"/>
      <c r="GQ79" s="151"/>
      <c r="GR79" s="151"/>
      <c r="GS79" s="151"/>
      <c r="GT79" s="151"/>
      <c r="GU79" s="151"/>
      <c r="GV79" s="151"/>
      <c r="GW79" s="151"/>
      <c r="GX79" s="151"/>
      <c r="GY79" s="151"/>
      <c r="GZ79" s="151"/>
      <c r="HA79" s="151"/>
      <c r="HB79" s="151"/>
      <c r="HC79" s="151"/>
      <c r="HD79" s="151"/>
      <c r="HE79" s="151"/>
      <c r="HF79" s="151"/>
      <c r="HG79" s="151"/>
      <c r="HH79" s="151"/>
      <c r="HI79" s="151"/>
      <c r="HJ79" s="151"/>
      <c r="HK79" s="151"/>
      <c r="HL79" s="151"/>
      <c r="HM79" s="151"/>
      <c r="HN79" s="151"/>
      <c r="HO79" s="151"/>
      <c r="HP79" s="151"/>
      <c r="HQ79" s="151"/>
      <c r="HR79" s="151"/>
      <c r="HS79" s="151"/>
      <c r="HT79" s="151"/>
      <c r="HU79" s="151"/>
      <c r="HV79" s="151"/>
      <c r="HW79" s="151"/>
      <c r="HX79" s="151"/>
      <c r="HY79" s="151"/>
      <c r="HZ79" s="151"/>
      <c r="IA79" s="151"/>
      <c r="IB79" s="151"/>
      <c r="IC79" s="151"/>
      <c r="ID79" s="151"/>
      <c r="IE79" s="151"/>
      <c r="IF79" s="151"/>
      <c r="IG79" s="151"/>
      <c r="IH79" s="151"/>
      <c r="II79" s="151"/>
      <c r="IJ79" s="151"/>
      <c r="IK79" s="151"/>
      <c r="IL79" s="151"/>
      <c r="IM79" s="151"/>
      <c r="IN79" s="151"/>
      <c r="IO79" s="151"/>
      <c r="IP79" s="151"/>
      <c r="IQ79" s="151"/>
      <c r="IR79" s="151"/>
      <c r="IS79" s="151"/>
      <c r="IT79" s="151"/>
      <c r="IU79" s="151"/>
      <c r="IV79" s="151"/>
      <c r="IW79" s="151"/>
      <c r="IX79" s="151"/>
      <c r="IY79" s="151"/>
      <c r="IZ79" s="151"/>
      <c r="JA79" s="151"/>
      <c r="JB79" s="151"/>
      <c r="JC79" s="151"/>
      <c r="JD79" s="151"/>
      <c r="JE79" s="151"/>
      <c r="JF79" s="151"/>
      <c r="JG79" s="151"/>
      <c r="JH79" s="151"/>
      <c r="JI79" s="151"/>
      <c r="JJ79" s="151"/>
      <c r="JK79" s="151"/>
      <c r="JL79" s="151"/>
      <c r="JM79" s="151"/>
      <c r="JN79" s="151"/>
      <c r="JO79" s="151"/>
      <c r="JP79" s="151"/>
      <c r="JQ79" s="151"/>
      <c r="JR79" s="151"/>
      <c r="JS79" s="151"/>
      <c r="JT79" s="151"/>
      <c r="JU79" s="151"/>
      <c r="JV79" s="58"/>
      <c r="JW79" s="58"/>
      <c r="JX79" s="58"/>
      <c r="JY79" s="58"/>
      <c r="JZ79" s="58"/>
      <c r="KA79" s="58"/>
    </row>
    <row r="80" spans="1:309" s="30" customFormat="1" ht="15" thickBot="1" x14ac:dyDescent="0.35">
      <c r="A80" s="166" t="s">
        <v>259</v>
      </c>
      <c r="B80" s="166" t="s">
        <v>52</v>
      </c>
      <c r="C80" s="166" t="s">
        <v>78</v>
      </c>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R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7"/>
      <c r="FC80" s="167"/>
      <c r="FD80" s="167"/>
      <c r="FE80" s="167"/>
      <c r="FF80" s="167"/>
      <c r="FG80" s="167"/>
      <c r="FH80" s="167"/>
      <c r="FI80" s="167"/>
      <c r="FJ80" s="167"/>
      <c r="FK80" s="167"/>
      <c r="FL80" s="167"/>
      <c r="FM80" s="167"/>
      <c r="FN80" s="167"/>
      <c r="FO80" s="167"/>
      <c r="FP80" s="167"/>
      <c r="FQ80" s="167"/>
      <c r="FR80" s="167"/>
      <c r="FS80" s="167"/>
      <c r="FT80" s="167"/>
      <c r="FU80" s="167"/>
      <c r="FV80" s="167"/>
      <c r="FW80" s="167"/>
      <c r="FX80" s="167"/>
      <c r="FY80" s="167"/>
      <c r="FZ80" s="167"/>
      <c r="GA80" s="167"/>
      <c r="GB80" s="167"/>
      <c r="GC80" s="167"/>
      <c r="GD80" s="167"/>
      <c r="GE80" s="167"/>
      <c r="GF80" s="167"/>
      <c r="GG80" s="167"/>
      <c r="GH80" s="167"/>
      <c r="GI80" s="167"/>
      <c r="GJ80" s="167"/>
      <c r="GK80" s="167"/>
      <c r="GL80" s="167"/>
      <c r="GM80" s="167"/>
      <c r="GN80" s="167"/>
      <c r="GO80" s="167"/>
      <c r="GP80" s="167"/>
      <c r="GQ80" s="167"/>
      <c r="GR80" s="167"/>
      <c r="GS80" s="167"/>
      <c r="GT80" s="167"/>
      <c r="GU80" s="167"/>
      <c r="GV80" s="167"/>
      <c r="GW80" s="167"/>
      <c r="GX80" s="167"/>
      <c r="GY80" s="167"/>
      <c r="GZ80" s="167"/>
      <c r="HA80" s="167"/>
      <c r="HB80" s="167"/>
      <c r="HC80" s="167"/>
      <c r="HD80" s="167"/>
      <c r="HE80" s="167"/>
      <c r="HF80" s="167"/>
      <c r="HG80" s="167"/>
      <c r="HH80" s="167"/>
      <c r="HI80" s="167"/>
      <c r="HJ80" s="167"/>
      <c r="HK80" s="167"/>
      <c r="HL80" s="167"/>
      <c r="HM80" s="167"/>
      <c r="HN80" s="167"/>
      <c r="HO80" s="167"/>
      <c r="HP80" s="167"/>
      <c r="HQ80" s="167"/>
      <c r="HR80" s="167"/>
      <c r="HS80" s="167"/>
      <c r="HT80" s="167"/>
      <c r="HU80" s="167"/>
      <c r="HV80" s="167"/>
      <c r="HW80" s="167"/>
      <c r="HX80" s="167"/>
      <c r="HY80" s="167"/>
      <c r="HZ80" s="167"/>
      <c r="IA80" s="167"/>
      <c r="IB80" s="167"/>
      <c r="IC80" s="167"/>
      <c r="ID80" s="167"/>
      <c r="IE80" s="167"/>
      <c r="IF80" s="167"/>
      <c r="IG80" s="167"/>
      <c r="IH80" s="167"/>
      <c r="II80" s="167"/>
      <c r="IJ80" s="167"/>
      <c r="IK80" s="167"/>
      <c r="IL80" s="167"/>
      <c r="IM80" s="167"/>
      <c r="IN80" s="175"/>
      <c r="IO80" s="175"/>
      <c r="IP80" s="175"/>
      <c r="IQ80" s="175"/>
      <c r="IR80" s="175"/>
      <c r="IS80" s="175"/>
      <c r="IT80" s="175"/>
      <c r="IU80" s="175"/>
      <c r="IV80" s="175"/>
      <c r="IW80" s="175"/>
      <c r="IX80" s="175"/>
      <c r="IY80" s="175"/>
      <c r="IZ80" s="175"/>
      <c r="JA80" s="175"/>
      <c r="JB80" s="175"/>
      <c r="JC80" s="175"/>
      <c r="JD80" s="175"/>
      <c r="JE80" s="175"/>
      <c r="JF80" s="175"/>
      <c r="JG80" s="175"/>
      <c r="JH80" s="175"/>
      <c r="JI80" s="175"/>
      <c r="JJ80" s="175"/>
      <c r="JK80" s="175"/>
      <c r="JL80" s="175"/>
      <c r="JM80" s="175"/>
      <c r="JN80" s="175"/>
      <c r="JO80" s="175"/>
      <c r="JP80" s="175"/>
      <c r="JQ80" s="175"/>
      <c r="JR80" s="175"/>
      <c r="JS80" s="175"/>
      <c r="JT80" s="175"/>
      <c r="JU80" s="175"/>
    </row>
    <row r="81" spans="1:309" s="30" customFormat="1" ht="15" thickBot="1" x14ac:dyDescent="0.35">
      <c r="A81" s="168" t="s">
        <v>259</v>
      </c>
      <c r="B81" s="168" t="s">
        <v>53</v>
      </c>
      <c r="C81" s="168" t="s">
        <v>224</v>
      </c>
      <c r="E81" s="68"/>
      <c r="F81" s="66"/>
      <c r="G81" s="66"/>
      <c r="H81" s="67"/>
      <c r="I81" s="58"/>
      <c r="J81" s="58"/>
      <c r="K81" s="58" t="s">
        <v>263</v>
      </c>
      <c r="L81" s="58" t="s">
        <v>263</v>
      </c>
      <c r="M81" s="58" t="s">
        <v>263</v>
      </c>
      <c r="N81" s="58" t="s">
        <v>263</v>
      </c>
      <c r="O81" s="58" t="s">
        <v>263</v>
      </c>
      <c r="P81" s="58" t="s">
        <v>263</v>
      </c>
      <c r="Q81" s="58" t="s">
        <v>263</v>
      </c>
      <c r="R81" s="58" t="s">
        <v>263</v>
      </c>
      <c r="S81" s="58" t="s">
        <v>263</v>
      </c>
      <c r="T81" s="58" t="s">
        <v>263</v>
      </c>
      <c r="U81" s="58" t="s">
        <v>263</v>
      </c>
      <c r="V81" s="58" t="s">
        <v>263</v>
      </c>
      <c r="W81" s="58" t="s">
        <v>263</v>
      </c>
      <c r="X81" s="58" t="s">
        <v>263</v>
      </c>
      <c r="Y81" s="58" t="s">
        <v>263</v>
      </c>
      <c r="Z81" s="58" t="s">
        <v>263</v>
      </c>
      <c r="AA81" s="58" t="s">
        <v>263</v>
      </c>
      <c r="AB81" s="58" t="s">
        <v>263</v>
      </c>
      <c r="AC81" s="58" t="s">
        <v>263</v>
      </c>
      <c r="AD81" s="58" t="s">
        <v>263</v>
      </c>
      <c r="AE81" s="58" t="s">
        <v>263</v>
      </c>
      <c r="AF81" s="58" t="s">
        <v>263</v>
      </c>
      <c r="AG81" s="58" t="s">
        <v>263</v>
      </c>
      <c r="AH81" s="58" t="s">
        <v>263</v>
      </c>
      <c r="AI81" s="58" t="s">
        <v>263</v>
      </c>
      <c r="AJ81" s="58" t="s">
        <v>263</v>
      </c>
      <c r="AK81" s="58" t="s">
        <v>263</v>
      </c>
      <c r="AL81" s="58" t="s">
        <v>263</v>
      </c>
      <c r="AM81" s="58" t="s">
        <v>263</v>
      </c>
      <c r="AN81" s="58" t="s">
        <v>263</v>
      </c>
      <c r="AO81" s="58" t="s">
        <v>263</v>
      </c>
      <c r="AP81" s="58" t="s">
        <v>263</v>
      </c>
      <c r="AQ81" s="58" t="s">
        <v>263</v>
      </c>
      <c r="AR81" s="58" t="s">
        <v>263</v>
      </c>
      <c r="AS81" s="58" t="s">
        <v>263</v>
      </c>
      <c r="AT81" s="58" t="s">
        <v>263</v>
      </c>
      <c r="AU81" s="58" t="s">
        <v>263</v>
      </c>
      <c r="AV81" s="58" t="s">
        <v>263</v>
      </c>
      <c r="AW81" s="58" t="s">
        <v>263</v>
      </c>
      <c r="AX81" s="58" t="s">
        <v>263</v>
      </c>
      <c r="AY81" s="58" t="s">
        <v>263</v>
      </c>
      <c r="AZ81" s="58" t="s">
        <v>263</v>
      </c>
      <c r="BA81" s="58" t="s">
        <v>263</v>
      </c>
      <c r="BB81" s="58" t="s">
        <v>263</v>
      </c>
      <c r="BC81" s="58" t="s">
        <v>263</v>
      </c>
      <c r="BD81" s="58" t="s">
        <v>263</v>
      </c>
      <c r="BE81" s="58" t="s">
        <v>263</v>
      </c>
      <c r="BF81" s="58" t="s">
        <v>263</v>
      </c>
      <c r="BG81" s="58" t="s">
        <v>263</v>
      </c>
      <c r="BH81" s="58" t="s">
        <v>263</v>
      </c>
      <c r="BI81" s="58" t="s">
        <v>263</v>
      </c>
      <c r="BJ81" s="58" t="s">
        <v>263</v>
      </c>
      <c r="BK81" s="58" t="s">
        <v>263</v>
      </c>
      <c r="BL81" s="58" t="s">
        <v>263</v>
      </c>
      <c r="BM81" s="58" t="s">
        <v>263</v>
      </c>
      <c r="BN81" s="58" t="s">
        <v>263</v>
      </c>
      <c r="BO81" s="58" t="s">
        <v>263</v>
      </c>
      <c r="BP81" s="58" t="s">
        <v>263</v>
      </c>
      <c r="BQ81" s="58" t="s">
        <v>263</v>
      </c>
      <c r="BR81" s="58" t="s">
        <v>263</v>
      </c>
      <c r="BS81" s="58" t="s">
        <v>263</v>
      </c>
      <c r="BT81" s="58" t="s">
        <v>263</v>
      </c>
      <c r="BU81" s="58" t="s">
        <v>263</v>
      </c>
      <c r="BV81" s="58" t="s">
        <v>263</v>
      </c>
      <c r="BW81" s="58" t="s">
        <v>263</v>
      </c>
      <c r="BX81" s="58" t="s">
        <v>263</v>
      </c>
      <c r="BY81" s="58" t="s">
        <v>263</v>
      </c>
      <c r="BZ81" s="58" t="s">
        <v>263</v>
      </c>
      <c r="CA81" s="58" t="s">
        <v>263</v>
      </c>
      <c r="CB81" s="58" t="s">
        <v>263</v>
      </c>
      <c r="CC81" s="58" t="s">
        <v>263</v>
      </c>
      <c r="CD81" s="58" t="s">
        <v>263</v>
      </c>
      <c r="CE81" s="58" t="s">
        <v>263</v>
      </c>
      <c r="CF81" s="58" t="s">
        <v>263</v>
      </c>
      <c r="CG81" s="58" t="s">
        <v>263</v>
      </c>
      <c r="CH81" s="58" t="s">
        <v>263</v>
      </c>
      <c r="CI81" s="58" t="s">
        <v>263</v>
      </c>
      <c r="CJ81" s="58" t="s">
        <v>263</v>
      </c>
      <c r="CK81" s="58" t="s">
        <v>263</v>
      </c>
      <c r="CL81" s="58" t="s">
        <v>263</v>
      </c>
      <c r="CM81" s="58" t="s">
        <v>263</v>
      </c>
      <c r="CN81" s="58" t="s">
        <v>263</v>
      </c>
      <c r="CO81" s="58"/>
      <c r="CP81" s="58"/>
      <c r="CQ81" s="58"/>
      <c r="CR81" s="58"/>
      <c r="CS81" s="58"/>
      <c r="CT81" s="58"/>
      <c r="CU81" s="58"/>
      <c r="CV81" s="58"/>
      <c r="CW81" s="58"/>
      <c r="CX81" s="58"/>
      <c r="CY81" s="58"/>
      <c r="CZ81" s="58"/>
      <c r="DA81" s="58"/>
      <c r="DB81" s="58"/>
      <c r="DC81" s="58"/>
      <c r="DD81" s="58"/>
      <c r="DE81" s="58"/>
      <c r="DF81" s="58"/>
      <c r="DG81" s="58"/>
      <c r="DH81" s="58"/>
      <c r="DI81" s="58"/>
      <c r="DJ81" s="58"/>
      <c r="DK81" s="58"/>
      <c r="DL81" s="58"/>
      <c r="DM81" s="58"/>
      <c r="DN81" s="58"/>
      <c r="DO81" s="58"/>
      <c r="DP81" s="58"/>
      <c r="DQ81" s="58"/>
      <c r="DR81" s="58"/>
      <c r="DS81" s="58"/>
      <c r="DT81" s="58"/>
      <c r="DU81" s="58"/>
      <c r="DV81" s="58"/>
      <c r="DW81" s="58"/>
      <c r="DX81" s="58"/>
      <c r="DY81" s="58"/>
      <c r="DZ81" s="58"/>
      <c r="EA81" s="58"/>
      <c r="EB81" s="58"/>
      <c r="EC81" s="58"/>
      <c r="ED81" s="58"/>
      <c r="EE81" s="58"/>
      <c r="EF81" s="58"/>
      <c r="EG81" s="58"/>
      <c r="EH81" s="58"/>
      <c r="EI81" s="58"/>
      <c r="EJ81" s="58"/>
      <c r="EK81" s="58"/>
      <c r="EL81" s="58"/>
      <c r="EM81" s="58"/>
      <c r="EN81" s="58"/>
      <c r="EO81" s="58"/>
      <c r="EP81" s="58"/>
      <c r="EQ81" s="58"/>
      <c r="ER81" s="58"/>
      <c r="ES81" s="58"/>
      <c r="ET81" s="58"/>
      <c r="EU81" s="58"/>
      <c r="EV81" s="58"/>
      <c r="EW81" s="58"/>
      <c r="EX81" s="58"/>
      <c r="EY81" s="58"/>
      <c r="EZ81" s="58"/>
      <c r="FA81" s="58"/>
      <c r="FB81" s="169"/>
      <c r="FC81" s="169"/>
      <c r="FD81" s="169"/>
      <c r="FE81" s="169"/>
      <c r="FF81" s="169"/>
      <c r="FG81" s="169"/>
      <c r="FH81" s="169"/>
      <c r="FI81" s="169"/>
      <c r="FJ81" s="169"/>
      <c r="FK81" s="169"/>
      <c r="FL81" s="169"/>
      <c r="FM81" s="169"/>
      <c r="FN81" s="169"/>
      <c r="FO81" s="169"/>
      <c r="FP81" s="169"/>
      <c r="FQ81" s="169"/>
      <c r="FR81" s="169"/>
      <c r="FS81" s="169"/>
      <c r="FT81" s="169"/>
      <c r="FU81" s="169"/>
      <c r="FV81" s="169"/>
      <c r="FW81" s="169"/>
      <c r="FX81" s="169"/>
      <c r="FY81" s="169"/>
      <c r="FZ81" s="169"/>
      <c r="GA81" s="169"/>
      <c r="GB81" s="169"/>
      <c r="GC81" s="169"/>
      <c r="GD81" s="169"/>
      <c r="GE81" s="169"/>
      <c r="GF81" s="169"/>
      <c r="GG81" s="169"/>
      <c r="GH81" s="169"/>
      <c r="GI81" s="169"/>
      <c r="GJ81" s="169"/>
      <c r="GK81" s="169"/>
      <c r="GL81" s="169"/>
      <c r="GM81" s="169"/>
      <c r="GN81" s="169"/>
      <c r="GO81" s="169"/>
      <c r="GP81" s="169"/>
      <c r="GQ81" s="169"/>
      <c r="GR81" s="169"/>
      <c r="GS81" s="169"/>
      <c r="GT81" s="169"/>
      <c r="GU81" s="169"/>
      <c r="GV81" s="169"/>
      <c r="GW81" s="169"/>
      <c r="GX81" s="169"/>
      <c r="GY81" s="169"/>
      <c r="GZ81" s="169"/>
      <c r="HA81" s="169"/>
      <c r="HB81" s="169"/>
      <c r="HC81" s="169"/>
      <c r="HD81" s="169"/>
      <c r="HE81" s="169"/>
      <c r="HF81" s="169"/>
      <c r="HG81" s="169"/>
      <c r="HH81" s="169"/>
      <c r="HI81" s="169"/>
      <c r="HJ81" s="169"/>
      <c r="HK81" s="169"/>
      <c r="HL81" s="169"/>
      <c r="HM81" s="169"/>
      <c r="HN81" s="169"/>
      <c r="HO81" s="169"/>
      <c r="HP81" s="169"/>
      <c r="HQ81" s="169"/>
      <c r="HR81" s="169"/>
      <c r="HS81" s="169"/>
      <c r="HT81" s="169"/>
      <c r="HU81" s="169"/>
      <c r="HV81" s="169"/>
      <c r="HW81" s="169"/>
      <c r="HX81" s="169"/>
      <c r="HY81" s="169"/>
      <c r="HZ81" s="169"/>
      <c r="IA81" s="169"/>
      <c r="IB81" s="169"/>
      <c r="IC81" s="169"/>
      <c r="ID81" s="169"/>
      <c r="IE81" s="169"/>
      <c r="IF81" s="169"/>
      <c r="IG81" s="169"/>
      <c r="IH81" s="169"/>
      <c r="II81" s="169"/>
      <c r="IJ81" s="169"/>
      <c r="IK81" s="169"/>
      <c r="IL81" s="169"/>
      <c r="IM81" s="169"/>
      <c r="IN81" s="174"/>
      <c r="IO81" s="174"/>
      <c r="IP81" s="174"/>
      <c r="IQ81" s="174"/>
      <c r="IR81" s="174"/>
      <c r="IS81" s="174"/>
      <c r="IT81" s="174"/>
      <c r="IU81" s="174"/>
      <c r="IV81" s="174"/>
      <c r="IW81" s="174"/>
      <c r="IX81" s="174"/>
      <c r="IY81" s="174"/>
      <c r="IZ81" s="174"/>
      <c r="JA81" s="174"/>
      <c r="JB81" s="174"/>
      <c r="JC81" s="174"/>
      <c r="JD81" s="174"/>
      <c r="JE81" s="174"/>
      <c r="JF81" s="174"/>
      <c r="JG81" s="174"/>
      <c r="JH81" s="174"/>
      <c r="JI81" s="174"/>
      <c r="JJ81" s="174"/>
      <c r="JK81" s="174"/>
      <c r="JL81" s="174"/>
      <c r="JM81" s="174"/>
      <c r="JN81" s="174"/>
      <c r="JO81" s="174"/>
      <c r="JP81" s="174"/>
      <c r="JQ81" s="174"/>
      <c r="JR81" s="174"/>
      <c r="JS81" s="174"/>
      <c r="JT81" s="174"/>
      <c r="JU81" s="174"/>
    </row>
    <row r="82" spans="1:309" s="30" customFormat="1" ht="15" thickBot="1" x14ac:dyDescent="0.35">
      <c r="A82" s="171" t="s">
        <v>259</v>
      </c>
      <c r="B82" s="171" t="s">
        <v>54</v>
      </c>
      <c r="C82" s="171" t="s">
        <v>18</v>
      </c>
      <c r="E82" s="58"/>
      <c r="F82" s="58"/>
      <c r="G82" s="58"/>
      <c r="H82" s="58"/>
      <c r="I82" s="58"/>
      <c r="J82" s="58"/>
      <c r="K82" s="58"/>
      <c r="L82" s="58"/>
      <c r="M82" s="58"/>
      <c r="N82" s="58"/>
      <c r="O82" s="58"/>
      <c r="P82" s="58"/>
      <c r="Q82" s="58"/>
      <c r="R82" s="68"/>
      <c r="S82" s="66"/>
      <c r="T82" s="66"/>
      <c r="U82" s="66"/>
      <c r="V82" s="66"/>
      <c r="W82" s="66"/>
      <c r="X82" s="66"/>
      <c r="Y82" s="66"/>
      <c r="Z82" s="66"/>
      <c r="AA82" s="66"/>
      <c r="AB82" s="67"/>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58"/>
      <c r="BO82" s="58"/>
      <c r="BP82" s="58"/>
      <c r="BQ82" s="58"/>
      <c r="BR82" s="58"/>
      <c r="BS82" s="58"/>
      <c r="BT82" s="58"/>
      <c r="BU82" s="58"/>
      <c r="BV82" s="58"/>
      <c r="BW82" s="58"/>
      <c r="BX82" s="58"/>
      <c r="BY82" s="58"/>
      <c r="BZ82" s="58"/>
      <c r="CA82" s="58"/>
      <c r="CB82" s="58"/>
      <c r="CC82" s="58"/>
      <c r="CD82" s="58"/>
      <c r="CE82" s="58"/>
      <c r="CF82" s="58"/>
      <c r="CG82" s="58"/>
      <c r="CH82" s="58"/>
      <c r="CI82" s="58"/>
      <c r="CJ82" s="58"/>
      <c r="CK82" s="58"/>
      <c r="CL82" s="58"/>
      <c r="CM82" s="58"/>
      <c r="CN82" s="58"/>
      <c r="CO82" s="58"/>
      <c r="CP82" s="58"/>
      <c r="CQ82" s="58"/>
      <c r="CR82" s="58"/>
      <c r="CS82" s="58"/>
      <c r="CT82" s="58"/>
      <c r="CU82" s="58"/>
      <c r="CV82" s="58"/>
      <c r="CW82" s="58"/>
      <c r="CX82" s="58"/>
      <c r="CY82" s="58"/>
      <c r="CZ82" s="58"/>
      <c r="DA82" s="58"/>
      <c r="DB82" s="58"/>
      <c r="DC82" s="58"/>
      <c r="DD82" s="58"/>
      <c r="DE82" s="58"/>
      <c r="DF82" s="58"/>
      <c r="DG82" s="58"/>
      <c r="DH82" s="58"/>
      <c r="DI82" s="58"/>
      <c r="DJ82" s="58"/>
      <c r="DK82" s="58"/>
      <c r="DL82" s="58"/>
      <c r="DM82" s="58"/>
      <c r="DN82" s="58"/>
      <c r="DO82" s="58"/>
      <c r="DP82" s="58"/>
      <c r="DQ82" s="58"/>
      <c r="DR82" s="58"/>
      <c r="DS82" s="58"/>
      <c r="DT82" s="58"/>
      <c r="DU82" s="58"/>
      <c r="DV82" s="58"/>
      <c r="DW82" s="58"/>
      <c r="DX82" s="58"/>
      <c r="DY82" s="58"/>
      <c r="DZ82" s="58"/>
      <c r="EA82" s="58"/>
      <c r="EB82" s="58"/>
      <c r="EC82" s="58"/>
      <c r="ED82" s="58"/>
      <c r="EE82" s="58"/>
      <c r="EF82" s="58"/>
      <c r="EG82" s="58"/>
      <c r="EH82" s="58"/>
      <c r="EI82" s="58"/>
      <c r="EJ82" s="58"/>
      <c r="EK82" s="58"/>
      <c r="EL82" s="58"/>
      <c r="EM82" s="58"/>
      <c r="EN82" s="58"/>
      <c r="EO82" s="58"/>
      <c r="EP82" s="58"/>
      <c r="EQ82" s="58"/>
      <c r="ER82" s="58"/>
      <c r="ES82" s="58"/>
      <c r="ET82" s="58"/>
      <c r="EU82" s="58"/>
      <c r="EV82" s="58"/>
      <c r="EW82" s="58"/>
      <c r="EX82" s="58"/>
      <c r="EY82" s="58"/>
      <c r="EZ82" s="58"/>
      <c r="FA82" s="58"/>
      <c r="FB82" s="170"/>
      <c r="FC82" s="170"/>
      <c r="FD82" s="170"/>
      <c r="FE82" s="170"/>
      <c r="FF82" s="170"/>
      <c r="FG82" s="170"/>
      <c r="FH82" s="170"/>
      <c r="FI82" s="170"/>
      <c r="FJ82" s="170"/>
      <c r="FK82" s="170"/>
      <c r="FL82" s="170"/>
      <c r="FM82" s="170"/>
      <c r="FN82" s="170"/>
      <c r="FO82" s="170"/>
      <c r="FP82" s="170"/>
      <c r="FQ82" s="170"/>
      <c r="FR82" s="172"/>
      <c r="FS82" s="172"/>
      <c r="FT82" s="172"/>
      <c r="FU82" s="172"/>
      <c r="FV82" s="172"/>
      <c r="FW82" s="172"/>
      <c r="FX82" s="172"/>
      <c r="FY82" s="172"/>
      <c r="FZ82" s="172"/>
      <c r="GA82" s="172"/>
      <c r="GB82" s="172"/>
      <c r="GC82" s="172"/>
      <c r="GD82" s="172"/>
      <c r="GE82" s="172"/>
      <c r="GF82" s="172"/>
      <c r="GG82" s="172"/>
      <c r="GH82" s="172"/>
      <c r="GI82" s="172"/>
      <c r="GJ82" s="172"/>
      <c r="GK82" s="172"/>
      <c r="GL82" s="172"/>
      <c r="GM82" s="172"/>
      <c r="GN82" s="172"/>
      <c r="GO82" s="172"/>
      <c r="GP82" s="170"/>
      <c r="GQ82" s="170"/>
      <c r="GR82" s="170"/>
      <c r="GS82" s="170"/>
      <c r="GT82" s="170"/>
      <c r="GU82" s="170"/>
      <c r="GV82" s="170"/>
      <c r="GW82" s="170"/>
      <c r="GX82" s="170"/>
      <c r="GY82" s="170"/>
      <c r="GZ82" s="170"/>
      <c r="HA82" s="170"/>
      <c r="HB82" s="170"/>
      <c r="HC82" s="170"/>
      <c r="HD82" s="170"/>
      <c r="HE82" s="170"/>
      <c r="HF82" s="170"/>
      <c r="HG82" s="170"/>
      <c r="HH82" s="170"/>
      <c r="HI82" s="170"/>
      <c r="HJ82" s="170"/>
      <c r="HK82" s="170"/>
      <c r="HL82" s="170"/>
      <c r="HM82" s="170"/>
      <c r="HN82" s="170"/>
      <c r="HO82" s="170"/>
      <c r="HP82" s="170"/>
      <c r="HQ82" s="170"/>
      <c r="HR82" s="170"/>
      <c r="HS82" s="170"/>
      <c r="HT82" s="170"/>
      <c r="HU82" s="170"/>
      <c r="HV82" s="170"/>
      <c r="HW82" s="170"/>
      <c r="HX82" s="170"/>
      <c r="HY82" s="170"/>
      <c r="HZ82" s="170"/>
      <c r="IA82" s="170"/>
      <c r="IB82" s="170"/>
      <c r="IC82" s="170"/>
      <c r="ID82" s="170"/>
      <c r="IE82" s="170"/>
      <c r="IF82" s="170"/>
      <c r="IG82" s="170"/>
      <c r="IH82" s="170"/>
      <c r="II82" s="170"/>
      <c r="IJ82" s="170"/>
      <c r="IK82" s="170"/>
      <c r="IL82" s="170"/>
      <c r="IM82" s="170"/>
      <c r="IN82" s="170"/>
      <c r="IO82" s="170"/>
      <c r="IP82" s="170"/>
      <c r="IQ82" s="170"/>
      <c r="IR82" s="170"/>
      <c r="IS82" s="170"/>
      <c r="IT82" s="170"/>
      <c r="IU82" s="170"/>
      <c r="IV82" s="170"/>
      <c r="IW82" s="170"/>
      <c r="IX82" s="170"/>
      <c r="IY82" s="170"/>
      <c r="IZ82" s="170"/>
      <c r="JA82" s="170"/>
      <c r="JB82" s="170"/>
      <c r="JC82" s="170"/>
      <c r="JD82" s="170"/>
      <c r="JE82" s="170"/>
      <c r="JF82" s="170"/>
      <c r="JG82" s="170"/>
      <c r="JH82" s="170"/>
      <c r="JI82" s="170"/>
      <c r="JJ82" s="170"/>
      <c r="JK82" s="170"/>
      <c r="JL82" s="170"/>
      <c r="JM82" s="170"/>
      <c r="JN82" s="170"/>
      <c r="JO82" s="170"/>
      <c r="JP82" s="170"/>
      <c r="JQ82" s="170"/>
      <c r="JR82" s="170"/>
      <c r="JS82" s="170"/>
      <c r="JT82" s="170"/>
      <c r="JU82" s="170"/>
      <c r="JV82" s="58"/>
      <c r="JW82" s="58"/>
      <c r="JX82" s="58"/>
      <c r="JY82" s="58"/>
      <c r="JZ82" s="58"/>
      <c r="KA82" s="58"/>
      <c r="KB82" s="58"/>
      <c r="KC82" s="58"/>
      <c r="KD82" s="58"/>
      <c r="KE82" s="58"/>
      <c r="KF82" s="58"/>
      <c r="KG82" s="58"/>
      <c r="KH82" s="58"/>
      <c r="KI82" s="58"/>
      <c r="KJ82" s="58"/>
      <c r="KK82" s="58"/>
      <c r="KL82" s="58"/>
      <c r="KM82" s="58"/>
      <c r="KN82" s="58"/>
      <c r="KO82" s="58"/>
    </row>
    <row r="83" spans="1:309" s="30" customFormat="1" ht="15" thickBot="1" x14ac:dyDescent="0.35">
      <c r="A83" s="19" t="s">
        <v>259</v>
      </c>
      <c r="B83" s="19" t="s">
        <v>90</v>
      </c>
      <c r="C83" s="19" t="s">
        <v>22</v>
      </c>
      <c r="E83" s="58"/>
      <c r="F83" s="58"/>
      <c r="G83" s="58"/>
      <c r="H83" s="58"/>
      <c r="I83" s="58"/>
      <c r="J83" s="58"/>
      <c r="K83" s="58"/>
      <c r="L83" s="58"/>
      <c r="M83" s="68"/>
      <c r="N83" s="66"/>
      <c r="O83" s="66"/>
      <c r="P83" s="66"/>
      <c r="Q83" s="66"/>
      <c r="R83" s="67"/>
      <c r="S83" s="68"/>
      <c r="T83" s="66"/>
      <c r="U83" s="66"/>
      <c r="V83" s="66"/>
      <c r="W83" s="66"/>
      <c r="X83" s="66"/>
      <c r="Y83" s="66"/>
      <c r="Z83" s="66"/>
      <c r="AA83" s="66"/>
      <c r="AB83" s="66"/>
      <c r="AC83" s="67"/>
      <c r="AD83" s="58"/>
      <c r="AE83" s="58"/>
      <c r="AF83" s="58" t="s">
        <v>263</v>
      </c>
      <c r="AG83" s="58" t="s">
        <v>263</v>
      </c>
      <c r="AH83" s="58" t="s">
        <v>263</v>
      </c>
      <c r="AI83" s="58" t="s">
        <v>263</v>
      </c>
      <c r="AJ83" s="58" t="s">
        <v>263</v>
      </c>
      <c r="AK83" s="58" t="s">
        <v>263</v>
      </c>
      <c r="AL83" s="58" t="s">
        <v>263</v>
      </c>
      <c r="AM83" s="58" t="s">
        <v>263</v>
      </c>
      <c r="AN83" s="58" t="s">
        <v>263</v>
      </c>
      <c r="AO83" s="58" t="s">
        <v>263</v>
      </c>
      <c r="AP83" s="58" t="s">
        <v>263</v>
      </c>
      <c r="AQ83" s="58" t="s">
        <v>263</v>
      </c>
      <c r="AR83" s="58" t="s">
        <v>263</v>
      </c>
      <c r="AS83" s="58" t="s">
        <v>263</v>
      </c>
      <c r="AT83" s="58" t="s">
        <v>263</v>
      </c>
      <c r="AU83" s="58" t="s">
        <v>263</v>
      </c>
      <c r="AV83" s="58" t="s">
        <v>263</v>
      </c>
      <c r="AW83" s="58" t="s">
        <v>263</v>
      </c>
      <c r="AX83" s="58" t="s">
        <v>263</v>
      </c>
      <c r="AY83" s="58" t="s">
        <v>263</v>
      </c>
      <c r="AZ83" s="58" t="s">
        <v>263</v>
      </c>
      <c r="BA83" s="58" t="s">
        <v>263</v>
      </c>
      <c r="BB83" s="58" t="s">
        <v>263</v>
      </c>
      <c r="BC83" s="58" t="s">
        <v>263</v>
      </c>
      <c r="BD83" s="58" t="s">
        <v>263</v>
      </c>
      <c r="BE83" s="58" t="s">
        <v>263</v>
      </c>
      <c r="BF83" s="58" t="s">
        <v>263</v>
      </c>
      <c r="BG83" s="58" t="s">
        <v>263</v>
      </c>
      <c r="BH83" s="58" t="s">
        <v>263</v>
      </c>
      <c r="BI83" s="58" t="s">
        <v>263</v>
      </c>
      <c r="BJ83" s="58" t="s">
        <v>263</v>
      </c>
      <c r="BK83" s="58" t="s">
        <v>263</v>
      </c>
      <c r="BL83" s="58" t="s">
        <v>263</v>
      </c>
      <c r="BM83" s="58" t="s">
        <v>263</v>
      </c>
      <c r="BN83" s="58" t="s">
        <v>263</v>
      </c>
      <c r="BO83" s="58" t="s">
        <v>263</v>
      </c>
      <c r="BP83" s="58" t="s">
        <v>263</v>
      </c>
      <c r="BQ83" s="58" t="s">
        <v>263</v>
      </c>
      <c r="BR83" s="58" t="s">
        <v>263</v>
      </c>
      <c r="BS83" s="58" t="s">
        <v>263</v>
      </c>
      <c r="BT83" s="58" t="s">
        <v>263</v>
      </c>
      <c r="BU83" s="58" t="s">
        <v>263</v>
      </c>
      <c r="BV83" s="58" t="s">
        <v>263</v>
      </c>
      <c r="BW83" s="58" t="s">
        <v>263</v>
      </c>
      <c r="BX83" s="58" t="s">
        <v>263</v>
      </c>
      <c r="BY83" s="58" t="s">
        <v>263</v>
      </c>
      <c r="BZ83" s="58" t="s">
        <v>263</v>
      </c>
      <c r="CA83" s="58" t="s">
        <v>263</v>
      </c>
      <c r="CB83" s="58" t="s">
        <v>263</v>
      </c>
      <c r="CC83" s="58" t="s">
        <v>263</v>
      </c>
      <c r="CD83" s="58" t="s">
        <v>263</v>
      </c>
      <c r="CE83" s="58" t="s">
        <v>263</v>
      </c>
      <c r="CF83" s="58" t="s">
        <v>263</v>
      </c>
      <c r="CG83" s="58" t="s">
        <v>263</v>
      </c>
      <c r="CH83" s="58" t="s">
        <v>263</v>
      </c>
      <c r="CI83" s="58" t="s">
        <v>263</v>
      </c>
      <c r="CJ83" s="58" t="s">
        <v>263</v>
      </c>
      <c r="CK83" s="58" t="s">
        <v>263</v>
      </c>
      <c r="CL83" s="58" t="s">
        <v>263</v>
      </c>
      <c r="CM83" s="58" t="s">
        <v>263</v>
      </c>
      <c r="CN83" s="58" t="s">
        <v>263</v>
      </c>
      <c r="CO83" s="58" t="s">
        <v>263</v>
      </c>
      <c r="CP83" s="58" t="s">
        <v>263</v>
      </c>
      <c r="CQ83" s="58" t="s">
        <v>263</v>
      </c>
      <c r="CR83" s="58" t="s">
        <v>263</v>
      </c>
      <c r="CS83" s="58" t="s">
        <v>263</v>
      </c>
      <c r="CT83" s="58" t="s">
        <v>263</v>
      </c>
      <c r="CU83" s="58" t="s">
        <v>263</v>
      </c>
      <c r="CV83" s="58"/>
      <c r="CW83" s="58"/>
      <c r="CX83" s="58"/>
      <c r="CY83" s="58"/>
      <c r="CZ83" s="58"/>
      <c r="DA83" s="58"/>
      <c r="DB83" s="58"/>
      <c r="DC83" s="58"/>
      <c r="DD83" s="58"/>
      <c r="DE83" s="58"/>
      <c r="DF83" s="58"/>
      <c r="DG83" s="58"/>
      <c r="DH83" s="58"/>
      <c r="DI83" s="58"/>
      <c r="DJ83" s="58"/>
      <c r="DK83" s="58"/>
      <c r="DL83" s="58"/>
      <c r="DM83" s="58"/>
      <c r="DN83" s="58"/>
      <c r="DO83" s="58"/>
      <c r="DP83" s="58"/>
      <c r="DQ83" s="58"/>
      <c r="DR83" s="58"/>
      <c r="DS83" s="58"/>
      <c r="DT83" s="58"/>
      <c r="DU83" s="58"/>
      <c r="DV83" s="58"/>
      <c r="DW83" s="58"/>
      <c r="DX83" s="58"/>
      <c r="DY83" s="58"/>
      <c r="DZ83" s="58"/>
      <c r="EA83" s="58"/>
      <c r="EB83" s="58"/>
      <c r="EC83" s="58"/>
      <c r="ED83" s="58"/>
      <c r="EE83" s="58"/>
      <c r="EF83" s="58"/>
      <c r="EG83" s="58"/>
      <c r="EH83" s="58"/>
      <c r="EI83" s="58"/>
      <c r="EJ83" s="58"/>
      <c r="EK83" s="58"/>
      <c r="EL83" s="58"/>
      <c r="EM83" s="58"/>
      <c r="EN83" s="58"/>
      <c r="EO83" s="58"/>
      <c r="EP83" s="58"/>
      <c r="EQ83" s="58"/>
      <c r="ER83" s="58"/>
      <c r="ES83" s="58"/>
      <c r="ET83" s="58"/>
      <c r="EU83" s="58"/>
      <c r="EV83" s="58"/>
      <c r="EW83" s="58"/>
      <c r="EX83" s="58"/>
      <c r="EY83" s="58"/>
      <c r="EZ83" s="58"/>
      <c r="FA83" s="58"/>
      <c r="FB83" s="58"/>
      <c r="FC83" s="58"/>
      <c r="FD83" s="58"/>
      <c r="FE83" s="58"/>
      <c r="FF83" s="58"/>
      <c r="FG83" s="58"/>
      <c r="FH83" s="58"/>
      <c r="FI83" s="58"/>
      <c r="FJ83" s="58"/>
      <c r="FK83" s="58"/>
      <c r="FL83" s="58"/>
      <c r="FM83" s="58"/>
      <c r="FN83" s="58"/>
      <c r="FO83" s="58"/>
      <c r="FP83" s="58"/>
      <c r="FQ83" s="58"/>
      <c r="FR83" s="59"/>
      <c r="FS83" s="59"/>
      <c r="FT83" s="59"/>
      <c r="FU83" s="59"/>
      <c r="FV83" s="59"/>
      <c r="FW83" s="59"/>
      <c r="FX83" s="59"/>
      <c r="FY83" s="59"/>
      <c r="FZ83" s="59"/>
      <c r="GA83" s="59"/>
      <c r="GB83" s="59"/>
      <c r="GC83" s="59"/>
      <c r="GD83" s="59"/>
      <c r="GE83" s="59"/>
      <c r="GF83" s="59"/>
      <c r="GG83" s="59"/>
      <c r="GH83" s="59"/>
      <c r="GI83" s="59"/>
      <c r="GJ83" s="59"/>
      <c r="GK83" s="59"/>
      <c r="GL83" s="59"/>
      <c r="GM83" s="59"/>
      <c r="GN83" s="59"/>
      <c r="GO83" s="59"/>
      <c r="GP83" s="58"/>
      <c r="GQ83" s="58"/>
      <c r="GR83" s="58"/>
      <c r="GS83" s="58"/>
      <c r="GT83" s="58"/>
      <c r="GU83" s="58"/>
      <c r="GV83" s="58"/>
      <c r="GW83" s="58"/>
      <c r="GX83" s="58"/>
      <c r="GY83" s="58"/>
      <c r="GZ83" s="58"/>
      <c r="HA83" s="58"/>
      <c r="HB83" s="58"/>
      <c r="HC83" s="58"/>
      <c r="HD83" s="58"/>
      <c r="HE83" s="58"/>
      <c r="HF83" s="58"/>
      <c r="HG83" s="58"/>
      <c r="HH83" s="58"/>
      <c r="HI83" s="58"/>
      <c r="HJ83" s="58"/>
      <c r="HK83" s="58"/>
      <c r="HL83" s="58"/>
      <c r="HM83" s="58"/>
      <c r="HN83" s="58"/>
      <c r="HO83" s="58"/>
      <c r="HP83" s="58"/>
      <c r="HQ83" s="58"/>
      <c r="HR83" s="58"/>
      <c r="HS83" s="58"/>
      <c r="HT83" s="58"/>
      <c r="HU83" s="58"/>
      <c r="HV83" s="58"/>
      <c r="HW83" s="58"/>
      <c r="HX83" s="58"/>
      <c r="HY83" s="58"/>
      <c r="HZ83" s="58"/>
      <c r="IA83" s="58"/>
      <c r="IB83" s="58"/>
      <c r="IC83" s="58"/>
      <c r="ID83" s="58"/>
      <c r="IE83" s="58"/>
      <c r="IF83" s="58"/>
      <c r="IG83" s="58"/>
      <c r="IH83" s="58"/>
      <c r="II83" s="58"/>
      <c r="IJ83" s="58"/>
      <c r="IK83" s="58"/>
      <c r="IL83" s="58"/>
      <c r="IM83" s="58"/>
      <c r="IN83" s="58"/>
      <c r="IO83" s="58"/>
      <c r="IP83" s="58"/>
      <c r="IQ83" s="58"/>
      <c r="IR83" s="58"/>
      <c r="IS83" s="58"/>
      <c r="IT83" s="58"/>
      <c r="IU83" s="58"/>
      <c r="IV83" s="58"/>
      <c r="IW83" s="58"/>
      <c r="IX83" s="58"/>
      <c r="IY83" s="58"/>
      <c r="IZ83" s="58"/>
      <c r="JA83" s="58"/>
      <c r="JB83" s="58"/>
      <c r="JC83" s="58"/>
      <c r="JD83" s="58"/>
      <c r="JE83" s="58"/>
      <c r="JF83" s="58"/>
      <c r="JG83" s="58"/>
      <c r="JH83" s="58"/>
      <c r="JI83" s="58"/>
      <c r="JJ83" s="58"/>
      <c r="JK83" s="58"/>
      <c r="JL83" s="58"/>
      <c r="JM83" s="58"/>
      <c r="JN83" s="58"/>
      <c r="JO83" s="58"/>
      <c r="JP83" s="58"/>
      <c r="JQ83" s="58"/>
      <c r="JR83" s="58"/>
      <c r="JS83" s="58"/>
      <c r="JT83" s="58"/>
      <c r="JU83" s="58"/>
      <c r="JV83" s="58"/>
      <c r="JW83" s="58"/>
      <c r="JX83" s="58"/>
      <c r="JY83" s="58"/>
      <c r="JZ83" s="58"/>
      <c r="KA83" s="58"/>
      <c r="KB83" s="58"/>
      <c r="KC83" s="58"/>
      <c r="KD83" s="58"/>
      <c r="KE83" s="58"/>
      <c r="KF83" s="58"/>
      <c r="KG83" s="58"/>
      <c r="KH83" s="58"/>
      <c r="KI83" s="58"/>
      <c r="KJ83" s="58"/>
      <c r="KK83" s="58"/>
      <c r="KL83" s="58"/>
      <c r="KM83" s="58"/>
      <c r="KN83" s="58"/>
      <c r="KO83" s="58"/>
    </row>
    <row r="84" spans="1:309" s="30" customFormat="1" ht="15" thickBot="1" x14ac:dyDescent="0.35">
      <c r="A84" s="19" t="s">
        <v>259</v>
      </c>
      <c r="B84" s="19" t="s">
        <v>55</v>
      </c>
      <c r="C84" s="19" t="s">
        <v>22</v>
      </c>
      <c r="E84" s="58"/>
      <c r="F84" s="58"/>
      <c r="G84" s="58"/>
      <c r="H84" s="58"/>
      <c r="I84" s="58"/>
      <c r="J84" s="58"/>
      <c r="K84" s="58"/>
      <c r="L84" s="58"/>
      <c r="M84" s="68"/>
      <c r="N84" s="66"/>
      <c r="O84" s="66"/>
      <c r="P84" s="66"/>
      <c r="Q84" s="66"/>
      <c r="R84" s="67"/>
      <c r="S84" s="68"/>
      <c r="T84" s="66"/>
      <c r="U84" s="66"/>
      <c r="V84" s="66"/>
      <c r="W84" s="66"/>
      <c r="X84" s="66"/>
      <c r="Y84" s="66"/>
      <c r="Z84" s="66"/>
      <c r="AA84" s="66"/>
      <c r="AB84" s="66"/>
      <c r="AC84" s="67"/>
      <c r="AD84" s="58"/>
      <c r="AE84" s="58"/>
      <c r="AF84" s="58" t="s">
        <v>263</v>
      </c>
      <c r="AG84" s="58" t="s">
        <v>263</v>
      </c>
      <c r="AH84" s="58" t="s">
        <v>263</v>
      </c>
      <c r="AI84" s="58" t="s">
        <v>263</v>
      </c>
      <c r="AJ84" s="58" t="s">
        <v>263</v>
      </c>
      <c r="AK84" s="58" t="s">
        <v>263</v>
      </c>
      <c r="AL84" s="58" t="s">
        <v>263</v>
      </c>
      <c r="AM84" s="58" t="s">
        <v>263</v>
      </c>
      <c r="AN84" s="58" t="s">
        <v>263</v>
      </c>
      <c r="AO84" s="58" t="s">
        <v>263</v>
      </c>
      <c r="AP84" s="58" t="s">
        <v>263</v>
      </c>
      <c r="AQ84" s="58" t="s">
        <v>263</v>
      </c>
      <c r="AR84" s="58" t="s">
        <v>263</v>
      </c>
      <c r="AS84" s="58" t="s">
        <v>263</v>
      </c>
      <c r="AT84" s="58" t="s">
        <v>263</v>
      </c>
      <c r="AU84" s="58" t="s">
        <v>263</v>
      </c>
      <c r="AV84" s="58" t="s">
        <v>263</v>
      </c>
      <c r="AW84" s="58" t="s">
        <v>263</v>
      </c>
      <c r="AX84" s="58" t="s">
        <v>263</v>
      </c>
      <c r="AY84" s="58" t="s">
        <v>263</v>
      </c>
      <c r="AZ84" s="58" t="s">
        <v>263</v>
      </c>
      <c r="BA84" s="58" t="s">
        <v>263</v>
      </c>
      <c r="BB84" s="58" t="s">
        <v>263</v>
      </c>
      <c r="BC84" s="58" t="s">
        <v>263</v>
      </c>
      <c r="BD84" s="58" t="s">
        <v>263</v>
      </c>
      <c r="BE84" s="58" t="s">
        <v>263</v>
      </c>
      <c r="BF84" s="58" t="s">
        <v>263</v>
      </c>
      <c r="BG84" s="58" t="s">
        <v>263</v>
      </c>
      <c r="BH84" s="58" t="s">
        <v>263</v>
      </c>
      <c r="BI84" s="58" t="s">
        <v>263</v>
      </c>
      <c r="BJ84" s="58" t="s">
        <v>263</v>
      </c>
      <c r="BK84" s="58" t="s">
        <v>263</v>
      </c>
      <c r="BL84" s="58" t="s">
        <v>263</v>
      </c>
      <c r="BM84" s="58" t="s">
        <v>263</v>
      </c>
      <c r="BN84" s="58" t="s">
        <v>263</v>
      </c>
      <c r="BO84" s="58" t="s">
        <v>263</v>
      </c>
      <c r="BP84" s="58" t="s">
        <v>263</v>
      </c>
      <c r="BQ84" s="58" t="s">
        <v>263</v>
      </c>
      <c r="BR84" s="58" t="s">
        <v>263</v>
      </c>
      <c r="BS84" s="58" t="s">
        <v>263</v>
      </c>
      <c r="BT84" s="58" t="s">
        <v>263</v>
      </c>
      <c r="BU84" s="58" t="s">
        <v>263</v>
      </c>
      <c r="BV84" s="58" t="s">
        <v>263</v>
      </c>
      <c r="BW84" s="58" t="s">
        <v>263</v>
      </c>
      <c r="BX84" s="58" t="s">
        <v>263</v>
      </c>
      <c r="BY84" s="58" t="s">
        <v>263</v>
      </c>
      <c r="BZ84" s="58" t="s">
        <v>263</v>
      </c>
      <c r="CA84" s="58" t="s">
        <v>263</v>
      </c>
      <c r="CB84" s="58" t="s">
        <v>263</v>
      </c>
      <c r="CC84" s="58" t="s">
        <v>263</v>
      </c>
      <c r="CD84" s="58" t="s">
        <v>263</v>
      </c>
      <c r="CE84" s="58" t="s">
        <v>263</v>
      </c>
      <c r="CF84" s="58" t="s">
        <v>263</v>
      </c>
      <c r="CG84" s="58" t="s">
        <v>263</v>
      </c>
      <c r="CH84" s="58" t="s">
        <v>263</v>
      </c>
      <c r="CI84" s="58" t="s">
        <v>263</v>
      </c>
      <c r="CJ84" s="58" t="s">
        <v>263</v>
      </c>
      <c r="CK84" s="58" t="s">
        <v>263</v>
      </c>
      <c r="CL84" s="58" t="s">
        <v>263</v>
      </c>
      <c r="CM84" s="58" t="s">
        <v>263</v>
      </c>
      <c r="CN84" s="58" t="s">
        <v>263</v>
      </c>
      <c r="CO84" s="58" t="s">
        <v>263</v>
      </c>
      <c r="CP84" s="58" t="s">
        <v>263</v>
      </c>
      <c r="CQ84" s="58" t="s">
        <v>263</v>
      </c>
      <c r="CR84" s="58" t="s">
        <v>263</v>
      </c>
      <c r="CS84" s="58" t="s">
        <v>263</v>
      </c>
      <c r="CT84" s="58" t="s">
        <v>263</v>
      </c>
      <c r="CU84" s="58" t="s">
        <v>263</v>
      </c>
      <c r="CV84" s="58"/>
      <c r="CW84" s="58"/>
      <c r="CX84" s="58"/>
      <c r="CY84" s="58"/>
      <c r="CZ84" s="58"/>
      <c r="DA84" s="58"/>
      <c r="DB84" s="58"/>
      <c r="DC84" s="58"/>
      <c r="DD84" s="58"/>
      <c r="DE84" s="58"/>
      <c r="DF84" s="58"/>
      <c r="DG84" s="58"/>
      <c r="DH84" s="58"/>
      <c r="DI84" s="58"/>
      <c r="DJ84" s="58"/>
      <c r="DK84" s="58"/>
      <c r="DL84" s="58"/>
      <c r="DM84" s="58"/>
      <c r="DN84" s="58"/>
      <c r="DO84" s="58"/>
      <c r="DP84" s="58"/>
      <c r="DQ84" s="58"/>
      <c r="DR84" s="58"/>
      <c r="DS84" s="58"/>
      <c r="DT84" s="58"/>
      <c r="DU84" s="58"/>
      <c r="DV84" s="58"/>
      <c r="DW84" s="58"/>
      <c r="DX84" s="58"/>
      <c r="DY84" s="58"/>
      <c r="DZ84" s="58"/>
      <c r="EA84" s="58"/>
      <c r="EB84" s="58"/>
      <c r="EC84" s="58"/>
      <c r="ED84" s="58"/>
      <c r="EE84" s="58"/>
      <c r="EF84" s="58"/>
      <c r="EG84" s="58"/>
      <c r="EH84" s="58"/>
      <c r="EI84" s="58"/>
      <c r="EJ84" s="58"/>
      <c r="EK84" s="58"/>
      <c r="EL84" s="58"/>
      <c r="EM84" s="58"/>
      <c r="EN84" s="58"/>
      <c r="EO84" s="58"/>
      <c r="EP84" s="58"/>
      <c r="EQ84" s="58"/>
      <c r="ER84" s="58"/>
      <c r="ES84" s="58"/>
      <c r="ET84" s="58"/>
      <c r="EU84" s="58"/>
      <c r="EV84" s="58"/>
      <c r="EW84" s="58"/>
      <c r="EX84" s="58"/>
      <c r="EY84" s="58"/>
      <c r="EZ84" s="58"/>
      <c r="FA84" s="58"/>
      <c r="FB84" s="58"/>
      <c r="FC84" s="58"/>
      <c r="FD84" s="58"/>
      <c r="FE84" s="58"/>
      <c r="FF84" s="58"/>
      <c r="FG84" s="58"/>
      <c r="FH84" s="58"/>
      <c r="FI84" s="58"/>
      <c r="FJ84" s="58"/>
      <c r="FK84" s="58"/>
      <c r="FL84" s="58"/>
      <c r="FM84" s="58"/>
      <c r="FN84" s="58"/>
      <c r="FO84" s="58"/>
      <c r="FP84" s="58"/>
      <c r="FQ84" s="58"/>
      <c r="FR84" s="58"/>
      <c r="FS84" s="58"/>
      <c r="FT84" s="58"/>
      <c r="FU84" s="58"/>
      <c r="FV84" s="58"/>
      <c r="FW84" s="58"/>
      <c r="FX84" s="58"/>
      <c r="FY84" s="58"/>
      <c r="FZ84" s="58"/>
      <c r="GA84" s="58"/>
      <c r="GB84" s="58"/>
      <c r="GC84" s="58"/>
      <c r="GD84" s="58"/>
      <c r="GE84" s="58"/>
      <c r="GF84" s="58"/>
      <c r="GG84" s="58"/>
      <c r="GH84" s="58"/>
      <c r="GI84" s="58"/>
      <c r="GJ84" s="58"/>
      <c r="GK84" s="58"/>
      <c r="GL84" s="58"/>
      <c r="GM84" s="58"/>
      <c r="GN84" s="58"/>
      <c r="GO84" s="58"/>
      <c r="GP84" s="58"/>
      <c r="GQ84" s="58"/>
      <c r="GR84" s="58"/>
      <c r="GS84" s="58"/>
      <c r="GT84" s="58"/>
      <c r="GU84" s="58"/>
      <c r="GV84" s="58"/>
      <c r="GW84" s="58"/>
      <c r="GX84" s="58"/>
      <c r="GY84" s="58"/>
      <c r="GZ84" s="58"/>
      <c r="HA84" s="58"/>
      <c r="HB84" s="58"/>
      <c r="HC84" s="58"/>
      <c r="HD84" s="58"/>
      <c r="HE84" s="58"/>
      <c r="HF84" s="58"/>
      <c r="HG84" s="58"/>
      <c r="HH84" s="58"/>
      <c r="HI84" s="58"/>
      <c r="HJ84" s="58"/>
      <c r="HK84" s="58"/>
      <c r="HL84" s="58"/>
      <c r="HM84" s="59"/>
      <c r="HN84" s="59"/>
      <c r="HO84" s="59"/>
      <c r="HP84" s="59"/>
      <c r="HQ84" s="59"/>
      <c r="HR84" s="59"/>
      <c r="HS84" s="59"/>
      <c r="HT84" s="59"/>
      <c r="HU84" s="59"/>
      <c r="HV84" s="59"/>
      <c r="HW84" s="59"/>
      <c r="HX84" s="59"/>
      <c r="HY84" s="59"/>
      <c r="HZ84" s="59"/>
      <c r="IA84" s="59"/>
      <c r="IB84" s="72"/>
      <c r="IC84" s="72"/>
      <c r="ID84" s="72"/>
      <c r="IE84" s="72"/>
      <c r="IF84" s="72"/>
      <c r="IG84" s="72"/>
      <c r="IH84" s="72"/>
      <c r="II84" s="72"/>
      <c r="IJ84" s="72"/>
      <c r="IK84" s="72"/>
      <c r="IL84" s="72"/>
      <c r="IM84" s="72"/>
      <c r="IN84" s="72"/>
      <c r="IO84" s="72"/>
      <c r="IP84" s="72"/>
      <c r="IQ84" s="72"/>
      <c r="IR84" s="72"/>
      <c r="IS84" s="72"/>
      <c r="IT84" s="72"/>
      <c r="IU84" s="72"/>
      <c r="IV84" s="72"/>
      <c r="IW84" s="72"/>
      <c r="IX84" s="72"/>
      <c r="IY84" s="72"/>
      <c r="IZ84" s="72"/>
      <c r="JA84" s="72"/>
      <c r="JB84" s="72"/>
      <c r="JC84" s="72"/>
      <c r="JD84" s="72"/>
      <c r="JE84" s="72"/>
      <c r="JF84" s="72"/>
      <c r="JG84" s="72"/>
      <c r="JH84" s="72"/>
      <c r="JI84" s="72"/>
      <c r="JJ84" s="72"/>
      <c r="JK84" s="72"/>
      <c r="JL84" s="72"/>
      <c r="JM84" s="72"/>
      <c r="JN84" s="72"/>
      <c r="JO84" s="72"/>
      <c r="JP84" s="72"/>
      <c r="JQ84" s="72"/>
      <c r="JR84" s="72"/>
      <c r="JS84" s="72"/>
      <c r="JT84" s="72"/>
      <c r="JU84" s="72"/>
      <c r="JV84" s="72"/>
      <c r="JW84" s="58"/>
      <c r="JX84" s="58"/>
      <c r="JY84" s="58"/>
      <c r="JZ84" s="58"/>
      <c r="KA84" s="58"/>
    </row>
    <row r="85" spans="1:309" s="30" customFormat="1" x14ac:dyDescent="0.3">
      <c r="A85" s="76" t="s">
        <v>259</v>
      </c>
      <c r="B85" s="76" t="s">
        <v>55</v>
      </c>
      <c r="C85" s="76" t="s">
        <v>29</v>
      </c>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c r="BA85" s="58"/>
      <c r="BB85" s="58"/>
      <c r="BC85" s="58"/>
      <c r="BD85" s="58"/>
      <c r="BE85" s="58"/>
      <c r="BF85" s="58"/>
      <c r="BG85" s="58"/>
      <c r="BH85" s="58"/>
      <c r="BI85" s="58"/>
      <c r="BJ85" s="58"/>
      <c r="BK85" s="58"/>
      <c r="BL85" s="58"/>
      <c r="BM85" s="58"/>
      <c r="BN85" s="58"/>
      <c r="BO85" s="58"/>
      <c r="BP85" s="58"/>
      <c r="BQ85" s="58"/>
      <c r="BR85" s="58"/>
      <c r="BS85" s="58"/>
      <c r="BT85" s="58"/>
      <c r="BU85" s="58"/>
      <c r="BV85" s="58"/>
      <c r="BW85" s="58"/>
      <c r="BX85" s="58"/>
      <c r="BY85" s="58"/>
      <c r="BZ85" s="58"/>
      <c r="CA85" s="58"/>
      <c r="CB85" s="58"/>
      <c r="CC85" s="58"/>
      <c r="CD85" s="58"/>
      <c r="CE85" s="58"/>
      <c r="CF85" s="58"/>
      <c r="CG85" s="58"/>
      <c r="CH85" s="58"/>
      <c r="CI85" s="58"/>
      <c r="CJ85" s="58"/>
      <c r="CK85" s="58"/>
      <c r="CL85" s="58"/>
      <c r="CM85" s="58"/>
      <c r="CN85" s="58"/>
      <c r="CO85" s="58"/>
      <c r="CP85" s="58"/>
      <c r="CQ85" s="58"/>
      <c r="CR85" s="58"/>
      <c r="CS85" s="58"/>
      <c r="CT85" s="58"/>
      <c r="CU85" s="58"/>
      <c r="CV85" s="58"/>
      <c r="CW85" s="58"/>
      <c r="CX85" s="58"/>
      <c r="CY85" s="58"/>
      <c r="CZ85" s="58"/>
      <c r="DA85" s="58"/>
      <c r="DB85" s="58"/>
      <c r="DC85" s="58"/>
      <c r="DD85" s="58"/>
      <c r="DE85" s="58"/>
      <c r="DF85" s="58"/>
      <c r="DG85" s="58"/>
      <c r="DH85" s="58"/>
      <c r="DI85" s="58"/>
      <c r="DJ85" s="58"/>
      <c r="DK85" s="58"/>
      <c r="DL85" s="58"/>
      <c r="DM85" s="58"/>
      <c r="DN85" s="58"/>
      <c r="DO85" s="58"/>
      <c r="DP85" s="58"/>
      <c r="DQ85" s="58"/>
      <c r="DR85" s="58"/>
      <c r="DS85" s="58"/>
      <c r="DT85" s="58"/>
      <c r="DU85" s="58"/>
      <c r="DV85" s="58"/>
      <c r="DW85" s="58"/>
      <c r="DX85" s="58"/>
      <c r="DY85" s="58"/>
      <c r="DZ85" s="58"/>
      <c r="EA85" s="58"/>
      <c r="EB85" s="58"/>
      <c r="EC85" s="58"/>
      <c r="ED85" s="58"/>
      <c r="EE85" s="58"/>
      <c r="EF85" s="58"/>
      <c r="EG85" s="58"/>
      <c r="EH85" s="58"/>
      <c r="EI85" s="58"/>
      <c r="EJ85" s="58"/>
      <c r="EK85" s="58"/>
      <c r="EL85" s="58"/>
      <c r="EM85" s="58"/>
      <c r="EN85" s="58"/>
      <c r="EO85" s="58"/>
      <c r="EP85" s="58"/>
      <c r="EQ85" s="58"/>
      <c r="ER85" s="58"/>
      <c r="ES85" s="58"/>
      <c r="ET85" s="58"/>
      <c r="EU85" s="58"/>
      <c r="EV85" s="58"/>
      <c r="EW85" s="58"/>
      <c r="EX85" s="58"/>
      <c r="EY85" s="58"/>
      <c r="EZ85" s="58"/>
      <c r="FA85" s="58"/>
      <c r="FB85" s="58"/>
      <c r="FC85" s="58"/>
      <c r="FD85" s="58"/>
      <c r="FE85" s="58"/>
      <c r="FF85" s="58"/>
      <c r="FG85" s="58"/>
      <c r="FH85" s="58"/>
      <c r="FI85" s="58"/>
      <c r="FJ85" s="58"/>
      <c r="FK85" s="58"/>
      <c r="FL85" s="58"/>
      <c r="FM85" s="58"/>
      <c r="FN85" s="58"/>
      <c r="FO85" s="58"/>
      <c r="FP85" s="58"/>
      <c r="FQ85" s="58"/>
      <c r="FR85" s="58"/>
      <c r="FS85" s="58"/>
      <c r="FT85" s="58"/>
      <c r="FU85" s="58"/>
      <c r="FV85" s="58"/>
      <c r="FW85" s="58"/>
      <c r="FX85" s="58"/>
      <c r="FY85" s="58"/>
      <c r="FZ85" s="58"/>
      <c r="GA85" s="58"/>
      <c r="GB85" s="58"/>
      <c r="GC85" s="58"/>
      <c r="GD85" s="58"/>
      <c r="GE85" s="58"/>
      <c r="GF85" s="58"/>
      <c r="GG85" s="58"/>
      <c r="GH85" s="58"/>
      <c r="GI85" s="58"/>
      <c r="GJ85" s="58"/>
      <c r="GK85" s="58"/>
      <c r="GL85" s="58"/>
      <c r="GM85" s="58"/>
      <c r="GN85" s="58"/>
      <c r="GO85" s="58"/>
      <c r="GP85" s="58"/>
      <c r="GQ85" s="58"/>
      <c r="GR85" s="58"/>
      <c r="GS85" s="58"/>
      <c r="GT85" s="58"/>
      <c r="GU85" s="58"/>
      <c r="GV85" s="58"/>
      <c r="GW85" s="58"/>
      <c r="GX85" s="58"/>
      <c r="GY85" s="58"/>
      <c r="GZ85" s="58"/>
      <c r="HA85" s="58"/>
      <c r="HB85" s="58"/>
      <c r="HC85" s="58"/>
      <c r="HD85" s="58"/>
      <c r="HE85" s="58"/>
      <c r="HF85" s="58"/>
      <c r="HG85" s="58"/>
      <c r="HH85" s="58"/>
      <c r="HI85" s="58"/>
      <c r="HJ85" s="58"/>
      <c r="HK85" s="58"/>
      <c r="HL85" s="58"/>
      <c r="HM85" s="58"/>
      <c r="HN85" s="58"/>
      <c r="HO85" s="58"/>
      <c r="HP85" s="58"/>
      <c r="HQ85" s="58"/>
      <c r="HR85" s="58"/>
      <c r="HS85" s="58"/>
      <c r="HT85" s="58"/>
      <c r="HU85" s="58"/>
      <c r="HV85" s="58"/>
      <c r="HW85" s="58"/>
      <c r="HX85" s="58"/>
      <c r="HY85" s="58"/>
      <c r="HZ85" s="58"/>
      <c r="IA85" s="58"/>
      <c r="IB85" s="75"/>
      <c r="IC85" s="75"/>
      <c r="ID85" s="75"/>
      <c r="IE85" s="75"/>
      <c r="IF85" s="75"/>
      <c r="IG85" s="75"/>
      <c r="IH85" s="75"/>
      <c r="II85" s="75"/>
      <c r="IJ85" s="75"/>
      <c r="IK85" s="75"/>
      <c r="IL85" s="75"/>
      <c r="IM85" s="75"/>
      <c r="IN85" s="75"/>
      <c r="IO85" s="75"/>
      <c r="IP85" s="75"/>
      <c r="IQ85" s="75"/>
      <c r="IR85" s="75"/>
      <c r="IS85" s="75"/>
      <c r="IT85" s="75"/>
      <c r="IU85" s="75"/>
      <c r="IV85" s="81"/>
      <c r="IW85" s="81"/>
      <c r="IX85" s="81"/>
      <c r="IY85" s="81"/>
      <c r="IZ85" s="81"/>
      <c r="JA85" s="81"/>
      <c r="JB85" s="81"/>
      <c r="JC85" s="81"/>
      <c r="JD85" s="81"/>
      <c r="JE85" s="81"/>
      <c r="JF85" s="81"/>
      <c r="JG85" s="81"/>
      <c r="JH85" s="81"/>
      <c r="JI85" s="81"/>
      <c r="JJ85" s="81"/>
      <c r="JK85" s="81"/>
      <c r="JL85" s="81"/>
      <c r="JM85" s="81"/>
      <c r="JN85" s="81"/>
      <c r="JO85" s="81"/>
      <c r="JP85" s="81"/>
      <c r="JQ85" s="81"/>
      <c r="JR85" s="81"/>
      <c r="JS85" s="81"/>
      <c r="JT85" s="81"/>
      <c r="JU85" s="81"/>
      <c r="JV85" s="81"/>
      <c r="JW85" s="58"/>
      <c r="JX85" s="58"/>
      <c r="JY85" s="58"/>
      <c r="JZ85" s="58"/>
      <c r="KA85" s="58"/>
      <c r="KB85" s="58"/>
      <c r="KC85" s="58"/>
      <c r="KD85" s="58"/>
      <c r="KE85" s="58"/>
      <c r="KF85" s="58"/>
      <c r="KG85" s="58"/>
      <c r="KH85" s="58"/>
    </row>
    <row r="86" spans="1:309" s="30" customFormat="1" ht="15" thickBot="1" x14ac:dyDescent="0.35">
      <c r="A86" s="20" t="s">
        <v>259</v>
      </c>
      <c r="B86" s="20" t="s">
        <v>371</v>
      </c>
      <c r="C86" s="20" t="s">
        <v>27</v>
      </c>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c r="BA86" s="58"/>
      <c r="BB86" s="58"/>
      <c r="BC86" s="58"/>
      <c r="BD86" s="58"/>
      <c r="BE86" s="58"/>
      <c r="BF86" s="58"/>
      <c r="BG86" s="58"/>
      <c r="BH86" s="58"/>
      <c r="BI86" s="58"/>
      <c r="BJ86" s="58"/>
      <c r="BK86" s="58"/>
      <c r="BL86" s="58"/>
      <c r="BM86" s="58"/>
      <c r="BN86" s="58"/>
      <c r="BO86" s="58"/>
      <c r="BP86" s="58"/>
      <c r="BQ86" s="58"/>
      <c r="BR86" s="58"/>
      <c r="BS86" s="58"/>
      <c r="BT86" s="58"/>
      <c r="BU86" s="58"/>
      <c r="BV86" s="58"/>
      <c r="BW86" s="58"/>
      <c r="BX86" s="58"/>
      <c r="BY86" s="58"/>
      <c r="BZ86" s="58"/>
      <c r="CA86" s="58"/>
      <c r="CB86" s="58"/>
      <c r="CC86" s="58"/>
      <c r="CD86" s="58"/>
      <c r="CE86" s="58"/>
      <c r="CF86" s="58"/>
      <c r="CG86" s="58"/>
      <c r="CH86" s="58"/>
      <c r="CI86" s="58"/>
      <c r="CJ86" s="58"/>
      <c r="CK86" s="58"/>
      <c r="CL86" s="58"/>
      <c r="CM86" s="58"/>
      <c r="CN86" s="58"/>
      <c r="CO86" s="58"/>
      <c r="CP86" s="58"/>
      <c r="CQ86" s="58"/>
      <c r="CR86" s="58"/>
      <c r="CS86" s="58"/>
      <c r="CT86" s="58"/>
      <c r="CU86" s="58"/>
      <c r="CV86" s="58"/>
      <c r="CW86" s="58"/>
      <c r="CX86" s="58"/>
      <c r="CY86" s="58"/>
      <c r="CZ86" s="58"/>
      <c r="DA86" s="58"/>
      <c r="DB86" s="58"/>
      <c r="DC86" s="58"/>
      <c r="DD86" s="58"/>
      <c r="DE86" s="58"/>
      <c r="DF86" s="58"/>
      <c r="DG86" s="58"/>
      <c r="DH86" s="58"/>
      <c r="DI86" s="58"/>
      <c r="DJ86" s="58"/>
      <c r="DK86" s="58"/>
      <c r="DL86" s="58"/>
      <c r="DM86" s="58"/>
      <c r="DN86" s="58"/>
      <c r="DO86" s="58"/>
      <c r="DP86" s="58"/>
      <c r="DQ86" s="58"/>
      <c r="DR86" s="58"/>
      <c r="DS86" s="58"/>
      <c r="DT86" s="58"/>
      <c r="DU86" s="58"/>
      <c r="DV86" s="58"/>
      <c r="DW86" s="58"/>
      <c r="DX86" s="58"/>
      <c r="DY86" s="58"/>
      <c r="DZ86" s="58"/>
      <c r="EA86" s="58"/>
      <c r="EB86" s="58"/>
      <c r="EC86" s="58"/>
      <c r="ED86" s="58"/>
      <c r="EE86" s="58"/>
      <c r="EF86" s="58"/>
      <c r="EG86" s="58"/>
      <c r="EH86" s="58"/>
      <c r="EI86" s="58"/>
      <c r="EJ86" s="58"/>
      <c r="EK86" s="58"/>
      <c r="EL86" s="58"/>
      <c r="EM86" s="58"/>
      <c r="EN86" s="58"/>
      <c r="EO86" s="58"/>
      <c r="EP86" s="58"/>
      <c r="EQ86" s="58"/>
      <c r="ER86" s="58"/>
      <c r="ES86" s="58"/>
      <c r="ET86" s="58"/>
      <c r="EU86" s="58"/>
      <c r="EV86" s="58"/>
      <c r="EW86" s="58"/>
      <c r="EX86" s="58"/>
      <c r="EY86" s="58"/>
      <c r="EZ86" s="58"/>
      <c r="FA86" s="58"/>
      <c r="FB86" s="58"/>
      <c r="FC86" s="58"/>
      <c r="FD86" s="58"/>
      <c r="FE86" s="58"/>
      <c r="FF86" s="58"/>
      <c r="FG86" s="58"/>
      <c r="FH86" s="58"/>
      <c r="FI86" s="58"/>
      <c r="FJ86" s="58"/>
      <c r="FK86" s="58"/>
      <c r="FL86" s="58"/>
      <c r="FM86" s="58"/>
      <c r="FN86" s="58"/>
      <c r="FO86" s="58"/>
      <c r="FP86" s="58"/>
      <c r="FQ86" s="58"/>
      <c r="FR86" s="58"/>
      <c r="FS86" s="58"/>
      <c r="FT86" s="58"/>
      <c r="FU86" s="58"/>
      <c r="FV86" s="58"/>
      <c r="FW86" s="58"/>
      <c r="FX86" s="58"/>
      <c r="FY86" s="58"/>
      <c r="FZ86" s="58"/>
      <c r="GA86" s="58"/>
      <c r="GB86" s="58"/>
      <c r="GC86" s="58"/>
      <c r="GD86" s="58"/>
      <c r="GE86" s="58"/>
      <c r="GF86" s="58"/>
      <c r="GG86" s="58"/>
      <c r="GH86" s="58"/>
      <c r="GI86" s="58"/>
      <c r="GJ86" s="58"/>
      <c r="GK86" s="58"/>
      <c r="GL86" s="58"/>
      <c r="GM86" s="58"/>
      <c r="GN86" s="58"/>
      <c r="GO86" s="58"/>
      <c r="GP86" s="58"/>
      <c r="GQ86" s="58"/>
      <c r="GR86" s="58"/>
      <c r="GS86" s="58"/>
      <c r="GT86" s="58"/>
      <c r="GU86" s="58"/>
      <c r="GV86" s="58"/>
      <c r="GW86" s="58"/>
      <c r="GX86" s="58"/>
      <c r="GY86" s="58"/>
      <c r="GZ86" s="58"/>
      <c r="HA86" s="58"/>
      <c r="HB86" s="58"/>
      <c r="HC86" s="58"/>
      <c r="HD86" s="58"/>
      <c r="HE86" s="58"/>
      <c r="HF86" s="58"/>
      <c r="HG86" s="58"/>
      <c r="HH86" s="58"/>
      <c r="HI86" s="58"/>
      <c r="HJ86" s="58"/>
      <c r="HK86" s="58"/>
      <c r="HL86" s="58"/>
      <c r="HM86" s="58"/>
      <c r="HN86" s="58"/>
      <c r="HO86" s="58"/>
      <c r="HP86" s="58"/>
      <c r="HQ86" s="58"/>
      <c r="HR86" s="58"/>
      <c r="HS86" s="58"/>
      <c r="HT86" s="58"/>
      <c r="HU86" s="58"/>
      <c r="HV86" s="58"/>
      <c r="HW86" s="58"/>
      <c r="HX86" s="58"/>
      <c r="HY86" s="58"/>
      <c r="HZ86" s="58"/>
      <c r="IA86" s="58"/>
      <c r="IB86" s="58"/>
      <c r="IC86" s="58"/>
      <c r="ID86" s="58"/>
      <c r="IE86" s="58"/>
      <c r="IF86" s="58"/>
      <c r="IG86" s="58"/>
      <c r="IH86" s="58"/>
      <c r="II86" s="58"/>
      <c r="IJ86" s="58"/>
      <c r="IK86" s="58"/>
      <c r="IL86" s="58"/>
      <c r="IM86" s="58"/>
      <c r="IN86" s="58"/>
      <c r="IO86" s="58"/>
      <c r="IP86" s="58"/>
      <c r="IQ86" s="58"/>
      <c r="IR86" s="58"/>
      <c r="IS86" s="58"/>
      <c r="IT86" s="58"/>
      <c r="IU86" s="58"/>
      <c r="IV86" s="70"/>
      <c r="IW86" s="70"/>
      <c r="IX86" s="70"/>
      <c r="IY86" s="70"/>
      <c r="IZ86" s="70"/>
      <c r="JA86" s="70"/>
      <c r="JB86" s="70"/>
      <c r="JC86" s="70"/>
      <c r="JD86" s="70"/>
      <c r="JE86" s="70"/>
      <c r="JF86" s="70"/>
      <c r="JG86" s="70"/>
      <c r="JH86" s="70"/>
      <c r="JI86" s="70"/>
      <c r="JJ86" s="70"/>
      <c r="JK86" s="70"/>
      <c r="JL86" s="70"/>
      <c r="JM86" s="70"/>
      <c r="JN86" s="70"/>
      <c r="JO86" s="70"/>
      <c r="JP86" s="70"/>
      <c r="JQ86" s="70"/>
      <c r="JR86" s="70"/>
      <c r="JS86" s="70"/>
      <c r="JT86" s="70"/>
      <c r="JU86" s="70"/>
      <c r="JV86" s="70"/>
      <c r="JW86" s="58"/>
      <c r="JX86" s="58"/>
      <c r="JY86" s="58"/>
      <c r="JZ86" s="58"/>
      <c r="KA86" s="58"/>
      <c r="KB86" s="58"/>
      <c r="KC86" s="58"/>
      <c r="KD86" s="58"/>
      <c r="KE86" s="58"/>
      <c r="KF86" s="58"/>
      <c r="KG86" s="58"/>
      <c r="KH86" s="58"/>
    </row>
    <row r="87" spans="1:309" s="30" customFormat="1" ht="15" thickBot="1" x14ac:dyDescent="0.35">
      <c r="A87" s="78" t="s">
        <v>259</v>
      </c>
      <c r="B87" s="78" t="s">
        <v>56</v>
      </c>
      <c r="C87" s="78" t="s">
        <v>25</v>
      </c>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c r="BA87" s="58"/>
      <c r="BB87" s="58"/>
      <c r="BC87" s="58"/>
      <c r="BD87" s="58"/>
      <c r="BE87" s="58"/>
      <c r="BF87" s="58"/>
      <c r="BG87" s="58"/>
      <c r="BH87" s="58"/>
      <c r="BI87" s="58"/>
      <c r="BJ87" s="58"/>
      <c r="BK87" s="58"/>
      <c r="BL87" s="68"/>
      <c r="BM87" s="66"/>
      <c r="BN87" s="66"/>
      <c r="BO87" s="66"/>
      <c r="BP87" s="66"/>
      <c r="BQ87" s="66"/>
      <c r="BR87" s="66"/>
      <c r="BS87" s="66"/>
      <c r="BT87" s="66"/>
      <c r="BU87" s="66"/>
      <c r="BV87" s="67"/>
      <c r="BW87" s="58"/>
      <c r="BX87" s="58"/>
      <c r="BY87" s="58"/>
      <c r="BZ87" s="58"/>
      <c r="CA87" s="58"/>
      <c r="CB87" s="58"/>
      <c r="CC87" s="58"/>
      <c r="CD87" s="58"/>
      <c r="CE87" s="58"/>
      <c r="CF87" s="58"/>
      <c r="CG87" s="58"/>
      <c r="CH87" s="58"/>
      <c r="CI87" s="58"/>
      <c r="CJ87" s="58"/>
      <c r="CK87" s="58"/>
      <c r="CL87" s="58"/>
      <c r="CM87" s="58"/>
      <c r="CN87" s="58"/>
      <c r="CO87" s="58"/>
      <c r="CP87" s="58"/>
      <c r="CQ87" s="58"/>
      <c r="CR87" s="58"/>
      <c r="CS87" s="58"/>
      <c r="CT87" s="58"/>
      <c r="CU87" s="58"/>
      <c r="CV87" s="58"/>
      <c r="CW87" s="58"/>
      <c r="CX87" s="58"/>
      <c r="CY87" s="58"/>
      <c r="CZ87" s="58"/>
      <c r="DA87" s="58"/>
      <c r="DB87" s="58"/>
      <c r="DC87" s="58"/>
      <c r="DD87" s="58"/>
      <c r="DE87" s="58"/>
      <c r="DF87" s="58"/>
      <c r="DG87" s="58"/>
      <c r="DH87" s="58"/>
      <c r="DI87" s="58"/>
      <c r="DJ87" s="58"/>
      <c r="DK87" s="58"/>
      <c r="DL87" s="58"/>
      <c r="DM87" s="58"/>
      <c r="DN87" s="58"/>
      <c r="DO87" s="58"/>
      <c r="DP87" s="58"/>
      <c r="DQ87" s="58"/>
      <c r="DR87" s="58"/>
      <c r="DS87" s="58"/>
      <c r="DT87" s="58"/>
      <c r="DU87" s="58"/>
      <c r="DV87" s="58"/>
      <c r="DW87" s="58"/>
      <c r="DX87" s="58"/>
      <c r="DY87" s="58"/>
      <c r="DZ87" s="58"/>
      <c r="EA87" s="58"/>
      <c r="EB87" s="58"/>
      <c r="EC87" s="58"/>
      <c r="ED87" s="58"/>
      <c r="EE87" s="58"/>
      <c r="EF87" s="58"/>
      <c r="EG87" s="58"/>
      <c r="EH87" s="58"/>
      <c r="EI87" s="58"/>
      <c r="EJ87" s="58"/>
      <c r="EK87" s="58"/>
      <c r="EL87" s="58"/>
      <c r="EM87" s="58"/>
      <c r="EN87" s="58"/>
      <c r="EO87" s="58"/>
      <c r="EP87" s="58"/>
      <c r="EQ87" s="58"/>
      <c r="ER87" s="58"/>
      <c r="ES87" s="58"/>
      <c r="ET87" s="58"/>
      <c r="EU87" s="58"/>
      <c r="EV87" s="58"/>
      <c r="EW87" s="58"/>
      <c r="EX87" s="58"/>
      <c r="EY87" s="58"/>
      <c r="EZ87" s="58"/>
      <c r="FC87" s="58"/>
      <c r="FD87" s="58"/>
      <c r="FE87" s="58"/>
      <c r="FF87" s="58"/>
      <c r="FG87" s="58"/>
      <c r="FH87" s="58"/>
      <c r="FI87" s="58"/>
      <c r="FJ87" s="58"/>
      <c r="FK87" s="58"/>
      <c r="FL87" s="58"/>
      <c r="FM87" s="58"/>
      <c r="FN87" s="58"/>
      <c r="FO87" s="58"/>
      <c r="FP87" s="58"/>
      <c r="FQ87" s="58"/>
      <c r="FR87" s="58"/>
      <c r="FS87" s="58"/>
      <c r="FT87" s="58"/>
      <c r="FU87" s="58"/>
      <c r="FV87" s="58"/>
      <c r="FW87" s="58"/>
      <c r="FX87" s="58"/>
      <c r="FY87" s="58"/>
      <c r="FZ87" s="58"/>
      <c r="GA87" s="58"/>
      <c r="GB87" s="58"/>
      <c r="GC87" s="58"/>
      <c r="GD87" s="58"/>
      <c r="GE87" s="58"/>
      <c r="GF87" s="58"/>
      <c r="GG87" s="58"/>
      <c r="GH87" s="58"/>
      <c r="GI87" s="58"/>
      <c r="GJ87" s="58"/>
      <c r="GK87" s="58"/>
      <c r="GL87" s="58"/>
      <c r="GM87" s="58"/>
      <c r="GN87" s="58"/>
      <c r="GO87" s="58"/>
      <c r="GP87" s="58"/>
      <c r="GQ87" s="58"/>
      <c r="GR87" s="58"/>
      <c r="GS87" s="58"/>
      <c r="GT87" s="58"/>
      <c r="GU87" s="58"/>
      <c r="GV87" s="58"/>
      <c r="GW87" s="58"/>
      <c r="GX87" s="58"/>
      <c r="GY87" s="58"/>
      <c r="GZ87" s="58"/>
      <c r="HA87" s="58"/>
      <c r="HB87" s="58"/>
      <c r="HC87" s="58"/>
      <c r="HD87" s="58"/>
      <c r="HE87" s="58"/>
      <c r="HF87" s="58"/>
      <c r="HG87" s="58"/>
      <c r="HH87" s="58"/>
      <c r="HI87" s="58"/>
      <c r="HJ87" s="58"/>
      <c r="HK87" s="58"/>
      <c r="HL87" s="58"/>
      <c r="HM87" s="58"/>
      <c r="HN87" s="58"/>
      <c r="HO87" s="58"/>
      <c r="HP87" s="58"/>
      <c r="HQ87" s="58"/>
      <c r="HR87" s="58"/>
      <c r="HS87" s="58"/>
      <c r="HT87" s="58"/>
      <c r="HU87" s="58"/>
      <c r="HV87" s="58"/>
      <c r="HW87" s="58"/>
      <c r="HX87" s="58"/>
      <c r="HY87" s="58"/>
      <c r="HZ87" s="58"/>
      <c r="IA87" s="58"/>
      <c r="IB87" s="58"/>
      <c r="IC87" s="58"/>
      <c r="ID87" s="58"/>
      <c r="IE87" s="58"/>
      <c r="IF87" s="58"/>
      <c r="IG87" s="58"/>
      <c r="IH87" s="58"/>
      <c r="II87" s="58"/>
      <c r="IJ87" s="58"/>
      <c r="IK87" s="58"/>
      <c r="IL87" s="58"/>
      <c r="IM87" s="58"/>
      <c r="IN87" s="58"/>
      <c r="IO87" s="58"/>
      <c r="IP87" s="58"/>
      <c r="IQ87" s="58"/>
      <c r="IR87" s="58"/>
      <c r="IS87" s="58"/>
      <c r="IT87" s="58"/>
      <c r="IU87" s="58"/>
      <c r="IV87" s="58"/>
      <c r="IW87" s="58"/>
      <c r="IX87" s="58"/>
      <c r="IY87" s="58"/>
      <c r="IZ87" s="58"/>
      <c r="JA87" s="58"/>
      <c r="JB87" s="58"/>
      <c r="JC87" s="58"/>
      <c r="JD87" s="58"/>
      <c r="JE87" s="58"/>
      <c r="JF87" s="58"/>
      <c r="JG87" s="58"/>
      <c r="JH87" s="58"/>
      <c r="JI87" s="58"/>
      <c r="JJ87" s="58"/>
      <c r="JK87" s="58"/>
      <c r="JL87" s="58"/>
      <c r="JM87" s="58"/>
      <c r="JN87" s="58"/>
      <c r="JO87" s="58"/>
      <c r="JP87" s="58"/>
      <c r="JQ87" s="58"/>
      <c r="JR87" s="58"/>
      <c r="JS87" s="58"/>
      <c r="JT87" s="58"/>
      <c r="JU87" s="58"/>
      <c r="JV87" s="58"/>
      <c r="JW87" s="158"/>
      <c r="JX87" s="159"/>
      <c r="JY87" s="58"/>
      <c r="JZ87" s="58"/>
      <c r="KA87" s="58"/>
      <c r="KO87" s="84"/>
      <c r="KP87" s="85"/>
      <c r="KQ87" s="85"/>
      <c r="KR87" s="85"/>
      <c r="KS87" s="85"/>
      <c r="KT87" s="85"/>
      <c r="KU87" s="85"/>
      <c r="KV87" s="85"/>
      <c r="KW87" s="86"/>
    </row>
    <row r="88" spans="1:309" s="30" customFormat="1" ht="15" thickBot="1" x14ac:dyDescent="0.35">
      <c r="A88" s="78" t="s">
        <v>259</v>
      </c>
      <c r="B88" s="78" t="s">
        <v>58</v>
      </c>
      <c r="C88" s="78" t="s">
        <v>25</v>
      </c>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c r="BB88" s="58"/>
      <c r="BC88" s="58"/>
      <c r="BD88" s="58"/>
      <c r="BE88" s="58"/>
      <c r="BF88" s="58"/>
      <c r="BG88" s="58"/>
      <c r="BH88" s="58"/>
      <c r="BI88" s="58"/>
      <c r="BJ88" s="58"/>
      <c r="BK88" s="58"/>
      <c r="BL88" s="68"/>
      <c r="BM88" s="66"/>
      <c r="BN88" s="66"/>
      <c r="BO88" s="66"/>
      <c r="BP88" s="66"/>
      <c r="BQ88" s="66"/>
      <c r="BR88" s="66"/>
      <c r="BS88" s="66"/>
      <c r="BT88" s="66"/>
      <c r="BU88" s="66"/>
      <c r="BV88" s="67"/>
      <c r="BW88" s="58"/>
      <c r="BX88" s="58"/>
      <c r="BY88" s="58"/>
      <c r="BZ88" s="58"/>
      <c r="CA88" s="58"/>
      <c r="CB88" s="58"/>
      <c r="CC88" s="58"/>
      <c r="CD88" s="58"/>
      <c r="CE88" s="58"/>
      <c r="CF88" s="58"/>
      <c r="CG88" s="58"/>
      <c r="CH88" s="58"/>
      <c r="CI88" s="58"/>
      <c r="CJ88" s="58"/>
      <c r="CK88" s="58"/>
      <c r="CL88" s="58"/>
      <c r="CM88" s="58"/>
      <c r="CN88" s="58"/>
      <c r="CO88" s="58"/>
      <c r="CP88" s="58"/>
      <c r="CQ88" s="58"/>
      <c r="CR88" s="58"/>
      <c r="CS88" s="58"/>
      <c r="CT88" s="58"/>
      <c r="CU88" s="58"/>
      <c r="CV88" s="58"/>
      <c r="CW88" s="58"/>
      <c r="CX88" s="58"/>
      <c r="CY88" s="58"/>
      <c r="CZ88" s="58"/>
      <c r="DA88" s="58"/>
      <c r="DB88" s="58"/>
      <c r="DC88" s="58"/>
      <c r="DD88" s="58"/>
      <c r="DE88" s="58"/>
      <c r="DF88" s="58"/>
      <c r="DG88" s="58"/>
      <c r="DH88" s="58"/>
      <c r="DI88" s="58"/>
      <c r="DJ88" s="58"/>
      <c r="DK88" s="58"/>
      <c r="DL88" s="58"/>
      <c r="DM88" s="58"/>
      <c r="DN88" s="58"/>
      <c r="DO88" s="58"/>
      <c r="DP88" s="58"/>
      <c r="DQ88" s="58"/>
      <c r="DR88" s="58"/>
      <c r="DS88" s="58"/>
      <c r="DT88" s="58"/>
      <c r="DU88" s="58"/>
      <c r="DV88" s="58"/>
      <c r="DW88" s="58"/>
      <c r="DX88" s="58"/>
      <c r="DY88" s="58"/>
      <c r="DZ88" s="58"/>
      <c r="EA88" s="58"/>
      <c r="EB88" s="58"/>
      <c r="EC88" s="58"/>
      <c r="ED88" s="58"/>
      <c r="EE88" s="58"/>
      <c r="EF88" s="58"/>
      <c r="EG88" s="58"/>
      <c r="EH88" s="58"/>
      <c r="EI88" s="58"/>
      <c r="EJ88" s="58"/>
      <c r="EK88" s="58"/>
      <c r="EL88" s="58"/>
      <c r="EM88" s="58"/>
      <c r="EN88" s="58"/>
      <c r="EO88" s="58"/>
      <c r="EP88" s="58"/>
      <c r="EQ88" s="58"/>
      <c r="ER88" s="58"/>
      <c r="ES88" s="58"/>
      <c r="ET88" s="58"/>
      <c r="EU88" s="58"/>
      <c r="EV88" s="58"/>
      <c r="EW88" s="58"/>
      <c r="EX88" s="58"/>
      <c r="EY88" s="58"/>
      <c r="EZ88" s="58"/>
      <c r="FA88" s="58"/>
      <c r="FB88" s="58"/>
      <c r="FC88" s="58"/>
      <c r="FD88" s="58"/>
      <c r="FE88" s="58"/>
      <c r="FF88" s="58"/>
      <c r="FG88" s="58"/>
      <c r="FH88" s="56"/>
      <c r="FI88" s="56"/>
      <c r="FJ88" s="56"/>
      <c r="FK88" s="56"/>
      <c r="FL88" s="56"/>
      <c r="FM88" s="56"/>
      <c r="FN88" s="56"/>
      <c r="FO88" s="56"/>
      <c r="FP88" s="56"/>
      <c r="FQ88" s="56"/>
      <c r="FR88" s="56"/>
      <c r="FS88" s="56"/>
      <c r="FT88" s="56"/>
      <c r="FU88" s="56"/>
      <c r="FX88" s="58"/>
      <c r="FY88" s="58"/>
      <c r="FZ88" s="58"/>
      <c r="GA88" s="58"/>
      <c r="GB88" s="58"/>
      <c r="GC88" s="58"/>
      <c r="GD88" s="58"/>
      <c r="GE88" s="58"/>
      <c r="GF88" s="58"/>
      <c r="GG88" s="58"/>
      <c r="GH88" s="58"/>
      <c r="GI88" s="58"/>
      <c r="GJ88" s="58"/>
      <c r="GK88" s="58"/>
      <c r="GL88" s="58"/>
      <c r="GM88" s="58"/>
      <c r="GN88" s="58"/>
      <c r="GO88" s="58"/>
      <c r="GP88" s="58"/>
      <c r="GQ88" s="58"/>
      <c r="GR88" s="58"/>
      <c r="GS88" s="58"/>
      <c r="GT88" s="58"/>
      <c r="GU88" s="58"/>
      <c r="GV88" s="58"/>
      <c r="GW88" s="58"/>
      <c r="GX88" s="58"/>
      <c r="GY88" s="58"/>
      <c r="GZ88" s="58"/>
      <c r="HA88" s="58"/>
      <c r="HB88" s="58"/>
      <c r="HC88" s="58"/>
      <c r="HD88" s="58"/>
      <c r="HE88" s="58"/>
      <c r="HF88" s="58"/>
      <c r="HG88" s="58"/>
      <c r="HH88" s="58"/>
      <c r="HI88" s="58"/>
      <c r="HJ88" s="58"/>
      <c r="HK88" s="58"/>
      <c r="HL88" s="58"/>
      <c r="HM88" s="58"/>
      <c r="HN88" s="58"/>
      <c r="HO88" s="58"/>
      <c r="HP88" s="58"/>
      <c r="HQ88" s="58"/>
      <c r="HR88" s="58"/>
      <c r="HS88" s="58"/>
      <c r="HT88" s="58"/>
      <c r="HU88" s="58"/>
      <c r="HV88" s="58"/>
      <c r="HW88" s="58"/>
      <c r="HX88" s="58"/>
      <c r="HY88" s="58"/>
      <c r="HZ88" s="58"/>
      <c r="IA88" s="58"/>
      <c r="IB88" s="58"/>
      <c r="IC88" s="58"/>
      <c r="ID88" s="58"/>
      <c r="IE88" s="58"/>
      <c r="IF88" s="58"/>
      <c r="IG88" s="58"/>
      <c r="IH88" s="58"/>
      <c r="II88" s="58"/>
      <c r="IJ88" s="58"/>
      <c r="IK88" s="58"/>
      <c r="IL88" s="58"/>
      <c r="IM88" s="58"/>
      <c r="KO88" s="84"/>
      <c r="KP88" s="85"/>
      <c r="KQ88" s="85"/>
      <c r="KR88" s="85"/>
      <c r="KS88" s="85"/>
      <c r="KT88" s="85"/>
      <c r="KU88" s="85"/>
      <c r="KV88" s="156"/>
      <c r="KW88" s="86"/>
    </row>
    <row r="89" spans="1:309" s="30" customFormat="1" hidden="1" x14ac:dyDescent="0.3">
      <c r="A89" s="141"/>
      <c r="B89" s="141"/>
      <c r="C89" s="141"/>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c r="BA89" s="58"/>
      <c r="BB89" s="58"/>
      <c r="BC89" s="58"/>
      <c r="BD89" s="58"/>
      <c r="BE89" s="58"/>
      <c r="BF89" s="58"/>
      <c r="BG89" s="58"/>
      <c r="BH89" s="58"/>
      <c r="BI89" s="58"/>
      <c r="BJ89" s="58"/>
      <c r="BK89" s="58"/>
      <c r="BL89" s="58"/>
      <c r="BM89" s="58"/>
      <c r="BN89" s="58"/>
      <c r="BO89" s="58"/>
      <c r="BP89" s="58"/>
      <c r="BQ89" s="58"/>
      <c r="BR89" s="58"/>
      <c r="BS89" s="58"/>
      <c r="BT89" s="58"/>
      <c r="BU89" s="58"/>
      <c r="BV89" s="58"/>
      <c r="BW89" s="58"/>
      <c r="BX89" s="58"/>
      <c r="BY89" s="58"/>
      <c r="BZ89" s="58"/>
      <c r="CA89" s="58"/>
      <c r="CB89" s="58"/>
      <c r="CC89" s="58"/>
      <c r="CD89" s="58"/>
      <c r="CE89" s="58"/>
      <c r="CF89" s="58"/>
      <c r="CG89" s="58"/>
      <c r="CH89" s="58"/>
      <c r="CI89" s="58"/>
      <c r="CJ89" s="58"/>
      <c r="CK89" s="58"/>
      <c r="CL89" s="58"/>
      <c r="CM89" s="58"/>
      <c r="CN89" s="58"/>
      <c r="CO89" s="58"/>
      <c r="CP89" s="58"/>
      <c r="CQ89" s="58"/>
      <c r="CR89" s="58"/>
      <c r="CS89" s="58"/>
      <c r="CT89" s="58"/>
      <c r="CU89" s="58"/>
      <c r="CV89" s="58"/>
      <c r="CW89" s="58"/>
      <c r="CX89" s="58"/>
      <c r="CY89" s="58"/>
      <c r="CZ89" s="58"/>
      <c r="DA89" s="58"/>
      <c r="DB89" s="58"/>
      <c r="DC89" s="58"/>
      <c r="DD89" s="58"/>
      <c r="DE89" s="58"/>
      <c r="DF89" s="58"/>
      <c r="DG89" s="58"/>
      <c r="DH89" s="58"/>
      <c r="DI89" s="58"/>
      <c r="DJ89" s="58"/>
      <c r="DK89" s="58"/>
      <c r="DL89" s="58"/>
      <c r="DM89" s="58"/>
      <c r="DN89" s="58"/>
      <c r="DO89" s="58"/>
      <c r="DP89" s="58"/>
      <c r="DQ89" s="58"/>
      <c r="DR89" s="58"/>
      <c r="DS89" s="58"/>
      <c r="DT89" s="58"/>
      <c r="DU89" s="58"/>
      <c r="DV89" s="58"/>
      <c r="DW89" s="58"/>
      <c r="DX89" s="58"/>
      <c r="DY89" s="58"/>
      <c r="DZ89" s="58"/>
      <c r="EA89" s="58"/>
      <c r="EB89" s="58"/>
      <c r="EC89" s="58"/>
      <c r="ED89" s="58"/>
      <c r="EE89" s="58"/>
      <c r="EF89" s="58"/>
      <c r="EG89" s="58"/>
      <c r="EH89" s="58"/>
      <c r="EI89" s="58"/>
      <c r="EJ89" s="58"/>
      <c r="EK89" s="58"/>
      <c r="EL89" s="58"/>
      <c r="EM89" s="58"/>
      <c r="EN89" s="58"/>
      <c r="EO89" s="58"/>
      <c r="EP89" s="58"/>
      <c r="EQ89" s="58"/>
      <c r="ER89" s="58"/>
      <c r="ES89" s="58"/>
      <c r="ET89" s="58"/>
      <c r="EU89" s="58"/>
      <c r="EV89" s="58"/>
      <c r="EW89" s="58"/>
      <c r="EX89" s="58"/>
      <c r="EY89" s="58"/>
      <c r="EZ89" s="58"/>
      <c r="FA89" s="58"/>
      <c r="FB89" s="58"/>
      <c r="FC89" s="58"/>
      <c r="FD89" s="58"/>
      <c r="FE89" s="58"/>
      <c r="FF89" s="58"/>
      <c r="FG89" s="58"/>
      <c r="FH89" s="58"/>
      <c r="FI89" s="58"/>
      <c r="FJ89" s="58"/>
      <c r="FK89" s="58"/>
      <c r="FL89" s="58"/>
      <c r="FM89" s="58"/>
      <c r="FN89" s="58"/>
      <c r="FO89" s="58"/>
      <c r="FP89" s="58"/>
      <c r="FQ89" s="58"/>
      <c r="FR89" s="58"/>
      <c r="FS89" s="58"/>
      <c r="FT89" s="58"/>
      <c r="FU89" s="58"/>
      <c r="FV89" s="58"/>
      <c r="FW89" s="58"/>
      <c r="FX89" s="58"/>
      <c r="FY89" s="58"/>
      <c r="FZ89" s="58"/>
      <c r="GA89" s="58"/>
      <c r="GB89" s="58"/>
      <c r="GC89" s="58"/>
      <c r="GD89" s="58"/>
      <c r="GE89" s="58"/>
      <c r="GF89" s="58"/>
      <c r="GG89" s="58"/>
      <c r="GH89" s="58"/>
      <c r="GI89" s="58"/>
      <c r="GJ89" s="58"/>
      <c r="GK89" s="58"/>
      <c r="GL89" s="58"/>
      <c r="GM89" s="58"/>
      <c r="GN89" s="58"/>
      <c r="GO89" s="58"/>
      <c r="GP89" s="58"/>
      <c r="GQ89" s="58"/>
      <c r="GR89" s="58"/>
      <c r="GS89" s="58"/>
      <c r="GT89" s="58"/>
      <c r="GU89" s="58"/>
      <c r="GV89" s="58"/>
      <c r="GW89" s="58"/>
      <c r="GX89" s="58"/>
      <c r="GY89" s="58"/>
      <c r="GZ89" s="58"/>
      <c r="HA89" s="58"/>
      <c r="HB89" s="58"/>
      <c r="HC89" s="58"/>
      <c r="HD89" s="58"/>
      <c r="HE89" s="58"/>
      <c r="HF89" s="58"/>
      <c r="HG89" s="58"/>
      <c r="HH89" s="58"/>
      <c r="HI89" s="58"/>
      <c r="HJ89" s="58"/>
      <c r="HK89" s="58"/>
      <c r="HL89" s="58"/>
      <c r="HM89" s="58"/>
      <c r="HN89" s="58"/>
      <c r="HO89" s="58"/>
      <c r="HP89" s="58"/>
      <c r="HQ89" s="58"/>
      <c r="HR89" s="58"/>
    </row>
    <row r="90" spans="1:309" s="30" customFormat="1" hidden="1" x14ac:dyDescent="0.3">
      <c r="A90" s="141"/>
      <c r="B90" s="141"/>
      <c r="C90" s="141"/>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8"/>
      <c r="BO90" s="58"/>
      <c r="BP90" s="58"/>
      <c r="BQ90" s="58"/>
      <c r="BR90" s="58"/>
      <c r="BS90" s="58"/>
      <c r="BT90" s="58"/>
      <c r="BU90" s="58"/>
      <c r="BV90" s="58"/>
      <c r="BW90" s="58"/>
      <c r="BX90" s="58"/>
      <c r="BY90" s="58"/>
      <c r="BZ90" s="58"/>
      <c r="CA90" s="58"/>
      <c r="CB90" s="58"/>
      <c r="CC90" s="58"/>
      <c r="CD90" s="58"/>
      <c r="CE90" s="58"/>
      <c r="CF90" s="58"/>
      <c r="CG90" s="58"/>
      <c r="CH90" s="58"/>
      <c r="CI90" s="58"/>
      <c r="CJ90" s="58"/>
      <c r="CK90" s="58"/>
      <c r="CL90" s="58"/>
      <c r="CM90" s="58"/>
      <c r="CN90" s="58"/>
      <c r="CO90" s="58"/>
      <c r="CP90" s="58"/>
      <c r="CQ90" s="58"/>
      <c r="CR90" s="58"/>
      <c r="CS90" s="58"/>
      <c r="CT90" s="58"/>
      <c r="CU90" s="58"/>
      <c r="CV90" s="58"/>
      <c r="CW90" s="58"/>
      <c r="CX90" s="58"/>
      <c r="CY90" s="58"/>
      <c r="CZ90" s="58"/>
      <c r="DA90" s="58"/>
      <c r="DB90" s="58"/>
      <c r="DC90" s="58"/>
      <c r="DD90" s="58"/>
      <c r="DE90" s="58"/>
      <c r="DF90" s="58"/>
      <c r="DG90" s="58"/>
      <c r="DH90" s="58"/>
      <c r="DI90" s="58"/>
      <c r="DJ90" s="58"/>
      <c r="DK90" s="58"/>
      <c r="DL90" s="58"/>
      <c r="DM90" s="58"/>
      <c r="DN90" s="58"/>
      <c r="DO90" s="58"/>
      <c r="DP90" s="58"/>
      <c r="DQ90" s="58"/>
      <c r="DR90" s="58"/>
      <c r="DS90" s="58"/>
      <c r="DT90" s="58"/>
      <c r="DU90" s="58"/>
      <c r="DV90" s="58"/>
      <c r="DW90" s="58"/>
      <c r="DX90" s="58"/>
      <c r="DY90" s="58"/>
      <c r="DZ90" s="58"/>
      <c r="EA90" s="58"/>
      <c r="EB90" s="58"/>
      <c r="EC90" s="58"/>
      <c r="ED90" s="58"/>
      <c r="EE90" s="58"/>
      <c r="EF90" s="58"/>
      <c r="EG90" s="58"/>
      <c r="EH90" s="58"/>
      <c r="EI90" s="58"/>
      <c r="EJ90" s="58"/>
      <c r="EK90" s="58"/>
      <c r="EL90" s="58"/>
      <c r="EM90" s="58"/>
      <c r="EN90" s="58"/>
      <c r="EO90" s="58"/>
      <c r="EP90" s="58"/>
      <c r="EQ90" s="58"/>
      <c r="ER90" s="58"/>
      <c r="ES90" s="58"/>
      <c r="ET90" s="58"/>
      <c r="EU90" s="58"/>
      <c r="EV90" s="58"/>
      <c r="EW90" s="58"/>
      <c r="EX90" s="58"/>
      <c r="EY90" s="58"/>
      <c r="EZ90" s="58"/>
      <c r="FA90" s="58"/>
      <c r="FB90" s="58"/>
      <c r="FC90" s="58"/>
      <c r="FD90" s="58"/>
      <c r="FE90" s="58"/>
      <c r="FF90" s="58"/>
      <c r="FG90" s="58"/>
      <c r="FH90" s="58"/>
      <c r="FI90" s="58"/>
      <c r="FJ90" s="58"/>
      <c r="FK90" s="58"/>
      <c r="FL90" s="58"/>
      <c r="FM90" s="58"/>
      <c r="FN90" s="58"/>
      <c r="FO90" s="58"/>
      <c r="FP90" s="58"/>
      <c r="FQ90" s="58"/>
      <c r="FR90" s="58"/>
      <c r="FS90" s="58"/>
      <c r="FT90" s="58"/>
      <c r="FU90" s="58"/>
      <c r="FV90" s="58"/>
      <c r="FW90" s="58"/>
      <c r="FX90" s="58"/>
      <c r="FY90" s="58"/>
      <c r="FZ90" s="58"/>
      <c r="GA90" s="58"/>
      <c r="GB90" s="58"/>
      <c r="GC90" s="58"/>
      <c r="GD90" s="58"/>
      <c r="GE90" s="58"/>
      <c r="GF90" s="58"/>
      <c r="GG90" s="58"/>
      <c r="GH90" s="58"/>
      <c r="GI90" s="58"/>
      <c r="GJ90" s="58"/>
      <c r="GK90" s="58"/>
      <c r="GL90" s="58"/>
      <c r="GM90" s="58"/>
      <c r="GN90" s="58"/>
      <c r="GO90" s="58"/>
      <c r="GP90" s="58"/>
      <c r="GQ90" s="58"/>
      <c r="GR90" s="58"/>
      <c r="GS90" s="58"/>
      <c r="GT90" s="58"/>
      <c r="GU90" s="58"/>
      <c r="GV90" s="58"/>
      <c r="GW90" s="58"/>
      <c r="GX90" s="58"/>
      <c r="GY90" s="58"/>
      <c r="GZ90" s="58"/>
      <c r="HA90" s="58"/>
      <c r="HB90" s="58"/>
      <c r="HC90" s="58"/>
      <c r="HD90" s="58"/>
      <c r="HE90" s="58"/>
      <c r="HF90" s="58"/>
      <c r="HG90" s="58"/>
      <c r="HH90" s="58"/>
      <c r="HI90" s="58"/>
      <c r="HJ90" s="58"/>
      <c r="HK90" s="58"/>
      <c r="HL90" s="58"/>
      <c r="HM90" s="58"/>
      <c r="HN90" s="58"/>
      <c r="HO90" s="58"/>
      <c r="HP90" s="58"/>
      <c r="HQ90" s="58"/>
      <c r="HR90" s="58"/>
    </row>
    <row r="91" spans="1:309" s="30" customFormat="1" hidden="1" x14ac:dyDescent="0.3">
      <c r="A91" s="141"/>
      <c r="B91" s="141"/>
      <c r="C91" s="141"/>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c r="BA91" s="58"/>
      <c r="BB91" s="58"/>
      <c r="BC91" s="58"/>
      <c r="BD91" s="58"/>
      <c r="BE91" s="58"/>
      <c r="BF91" s="58"/>
      <c r="BG91" s="58"/>
      <c r="BH91" s="58"/>
      <c r="BI91" s="58"/>
      <c r="BJ91" s="58"/>
      <c r="BK91" s="58"/>
      <c r="BL91" s="58"/>
      <c r="BM91" s="58"/>
      <c r="BN91" s="58"/>
      <c r="BO91" s="58"/>
      <c r="BP91" s="58"/>
      <c r="BQ91" s="58"/>
      <c r="BR91" s="58"/>
      <c r="BS91" s="58"/>
      <c r="BT91" s="58"/>
      <c r="BU91" s="58"/>
      <c r="BV91" s="58"/>
      <c r="BW91" s="58"/>
      <c r="BX91" s="58"/>
      <c r="BY91" s="58"/>
      <c r="BZ91" s="58"/>
      <c r="CA91" s="58"/>
      <c r="CB91" s="58"/>
      <c r="CC91" s="58"/>
      <c r="CD91" s="58"/>
      <c r="CE91" s="58"/>
      <c r="CF91" s="58"/>
      <c r="CG91" s="58"/>
      <c r="CH91" s="58"/>
      <c r="CI91" s="58"/>
      <c r="CJ91" s="58"/>
      <c r="CK91" s="58"/>
      <c r="CL91" s="58"/>
      <c r="CM91" s="58"/>
      <c r="CN91" s="58"/>
      <c r="CO91" s="58"/>
      <c r="CP91" s="58"/>
      <c r="CQ91" s="58"/>
      <c r="CR91" s="58"/>
      <c r="CS91" s="58"/>
      <c r="CT91" s="58"/>
      <c r="CU91" s="58"/>
      <c r="CV91" s="58"/>
      <c r="CW91" s="58"/>
      <c r="CX91" s="58"/>
      <c r="CY91" s="58"/>
      <c r="CZ91" s="58"/>
      <c r="DA91" s="58"/>
      <c r="DB91" s="58"/>
      <c r="DC91" s="58"/>
      <c r="DD91" s="58"/>
      <c r="DE91" s="58"/>
      <c r="DF91" s="58"/>
      <c r="DG91" s="58"/>
      <c r="DH91" s="58"/>
      <c r="DI91" s="58"/>
      <c r="DJ91" s="58"/>
      <c r="DK91" s="58"/>
      <c r="DL91" s="58"/>
      <c r="DM91" s="58"/>
      <c r="DN91" s="58"/>
      <c r="DO91" s="58"/>
      <c r="DP91" s="58"/>
      <c r="DQ91" s="58"/>
      <c r="DR91" s="58"/>
      <c r="DS91" s="58"/>
      <c r="DT91" s="58"/>
      <c r="DU91" s="58"/>
      <c r="DV91" s="58"/>
      <c r="DW91" s="58"/>
      <c r="DX91" s="58"/>
      <c r="DY91" s="58"/>
      <c r="DZ91" s="58"/>
      <c r="EA91" s="58"/>
      <c r="EB91" s="58"/>
      <c r="EC91" s="58"/>
      <c r="ED91" s="58"/>
      <c r="EE91" s="58"/>
      <c r="EF91" s="58"/>
      <c r="EG91" s="58"/>
      <c r="EH91" s="58"/>
      <c r="EI91" s="58"/>
      <c r="EJ91" s="58"/>
      <c r="EK91" s="58"/>
      <c r="EL91" s="58"/>
      <c r="EM91" s="58"/>
      <c r="EN91" s="58"/>
      <c r="EO91" s="58"/>
      <c r="EP91" s="58"/>
      <c r="EQ91" s="58"/>
      <c r="ER91" s="58"/>
      <c r="ES91" s="58"/>
      <c r="ET91" s="58"/>
      <c r="EU91" s="58"/>
      <c r="EV91" s="58"/>
      <c r="EW91" s="58"/>
      <c r="EX91" s="58"/>
      <c r="EY91" s="58"/>
      <c r="EZ91" s="58"/>
      <c r="FA91" s="58"/>
      <c r="FB91" s="58"/>
      <c r="FC91" s="58"/>
      <c r="FD91" s="58"/>
      <c r="FE91" s="58"/>
      <c r="FF91" s="58"/>
      <c r="FG91" s="58"/>
      <c r="FH91" s="58"/>
      <c r="FI91" s="58"/>
      <c r="FJ91" s="58"/>
      <c r="FK91" s="58"/>
      <c r="FL91" s="58"/>
      <c r="FM91" s="58"/>
      <c r="FN91" s="58"/>
      <c r="FO91" s="58"/>
      <c r="FP91" s="58"/>
      <c r="FQ91" s="58"/>
      <c r="FR91" s="58"/>
      <c r="FS91" s="58"/>
      <c r="FT91" s="58"/>
      <c r="FU91" s="58"/>
      <c r="FV91" s="58"/>
      <c r="FW91" s="58"/>
      <c r="FX91" s="58"/>
      <c r="FY91" s="58"/>
      <c r="FZ91" s="58"/>
      <c r="GA91" s="58"/>
      <c r="GB91" s="58"/>
      <c r="GC91" s="58"/>
      <c r="GD91" s="58"/>
      <c r="GE91" s="58"/>
      <c r="GF91" s="58"/>
      <c r="GG91" s="58"/>
      <c r="GH91" s="58"/>
      <c r="GI91" s="58"/>
      <c r="GJ91" s="58"/>
      <c r="GK91" s="58"/>
      <c r="GL91" s="58"/>
      <c r="GM91" s="58"/>
      <c r="GN91" s="58"/>
      <c r="GO91" s="58"/>
      <c r="GP91" s="58"/>
      <c r="GQ91" s="58"/>
      <c r="GR91" s="58"/>
      <c r="GS91" s="58"/>
      <c r="GT91" s="58"/>
      <c r="GU91" s="58"/>
      <c r="GV91" s="58"/>
      <c r="GW91" s="58"/>
      <c r="GX91" s="58"/>
      <c r="GY91" s="58"/>
      <c r="GZ91" s="58"/>
      <c r="HA91" s="58"/>
      <c r="HB91" s="58"/>
      <c r="HC91" s="58"/>
      <c r="HD91" s="58"/>
      <c r="HE91" s="58"/>
      <c r="HF91" s="58"/>
      <c r="HG91" s="58"/>
      <c r="HH91" s="58"/>
      <c r="HI91" s="58"/>
      <c r="HJ91" s="58"/>
      <c r="HK91" s="58"/>
      <c r="HL91" s="58"/>
      <c r="HM91" s="58"/>
      <c r="HN91" s="58"/>
      <c r="HO91" s="58"/>
      <c r="HP91" s="58"/>
      <c r="HQ91" s="58"/>
      <c r="HR91" s="58"/>
      <c r="HS91" s="58"/>
      <c r="HT91" s="58"/>
      <c r="HU91" s="58"/>
      <c r="HV91" s="58"/>
      <c r="HW91" s="58"/>
      <c r="HX91" s="58"/>
      <c r="HY91" s="58"/>
      <c r="HZ91" s="58"/>
      <c r="IA91" s="58"/>
      <c r="IB91" s="58"/>
      <c r="IC91" s="58"/>
      <c r="ID91" s="58"/>
      <c r="IE91" s="58"/>
      <c r="IF91" s="58"/>
      <c r="IG91" s="58"/>
      <c r="IH91" s="58"/>
      <c r="II91" s="58"/>
      <c r="IJ91" s="58"/>
      <c r="IK91" s="58"/>
      <c r="IL91" s="58"/>
      <c r="IM91" s="58"/>
    </row>
    <row r="92" spans="1:309" s="30" customFormat="1" hidden="1" x14ac:dyDescent="0.3">
      <c r="A92" s="141"/>
      <c r="B92" s="141"/>
      <c r="C92" s="141"/>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c r="BA92" s="58"/>
      <c r="BB92" s="58"/>
      <c r="BC92" s="58"/>
      <c r="BD92" s="58"/>
      <c r="BE92" s="58"/>
      <c r="BF92" s="58"/>
      <c r="BG92" s="58"/>
      <c r="BH92" s="58"/>
      <c r="BI92" s="58"/>
      <c r="BJ92" s="58"/>
      <c r="BK92" s="58"/>
      <c r="BL92" s="58"/>
      <c r="BM92" s="58"/>
      <c r="BN92" s="58"/>
      <c r="BO92" s="58"/>
      <c r="BP92" s="58"/>
      <c r="BQ92" s="58"/>
      <c r="BR92" s="58"/>
      <c r="BS92" s="58"/>
      <c r="BT92" s="58"/>
      <c r="BU92" s="58"/>
      <c r="BV92" s="58"/>
      <c r="BW92" s="58"/>
      <c r="BX92" s="58"/>
      <c r="BY92" s="58"/>
      <c r="BZ92" s="58"/>
      <c r="CA92" s="58"/>
      <c r="CB92" s="58"/>
      <c r="CC92" s="58"/>
      <c r="CD92" s="58"/>
      <c r="CE92" s="58"/>
      <c r="CF92" s="58"/>
      <c r="CG92" s="58"/>
      <c r="CH92" s="58"/>
      <c r="CI92" s="58"/>
      <c r="CJ92" s="58"/>
      <c r="CK92" s="58"/>
      <c r="CL92" s="58"/>
      <c r="CM92" s="58"/>
      <c r="CN92" s="58"/>
      <c r="CO92" s="58"/>
      <c r="CP92" s="58"/>
      <c r="CQ92" s="58"/>
      <c r="CR92" s="58"/>
      <c r="CS92" s="58"/>
      <c r="CT92" s="58"/>
      <c r="CU92" s="58"/>
      <c r="CV92" s="58"/>
      <c r="CW92" s="58"/>
      <c r="CX92" s="58"/>
      <c r="CY92" s="58"/>
      <c r="CZ92" s="58"/>
      <c r="DA92" s="58"/>
      <c r="DB92" s="58"/>
      <c r="DC92" s="58"/>
      <c r="DD92" s="58"/>
      <c r="DE92" s="58"/>
      <c r="DF92" s="58"/>
      <c r="DG92" s="58"/>
      <c r="DH92" s="58"/>
      <c r="DI92" s="58"/>
      <c r="DJ92" s="58"/>
      <c r="DK92" s="58"/>
      <c r="DL92" s="58"/>
      <c r="DM92" s="58"/>
      <c r="DN92" s="58"/>
      <c r="DO92" s="58"/>
      <c r="DP92" s="58"/>
      <c r="DQ92" s="58"/>
      <c r="DR92" s="58"/>
      <c r="DS92" s="58"/>
      <c r="DT92" s="58"/>
      <c r="DU92" s="58"/>
      <c r="DV92" s="58"/>
      <c r="DW92" s="58"/>
      <c r="DX92" s="58"/>
      <c r="DY92" s="58"/>
      <c r="DZ92" s="58"/>
      <c r="EA92" s="58"/>
      <c r="EB92" s="58"/>
      <c r="EC92" s="58"/>
      <c r="ED92" s="58"/>
      <c r="EE92" s="58"/>
      <c r="EF92" s="58"/>
      <c r="EG92" s="58"/>
      <c r="EH92" s="58"/>
      <c r="EI92" s="58"/>
      <c r="EJ92" s="58"/>
      <c r="EK92" s="58"/>
      <c r="EL92" s="58"/>
      <c r="FC92" s="58"/>
      <c r="FD92" s="58"/>
      <c r="FE92" s="58"/>
      <c r="FF92" s="58"/>
      <c r="FG92" s="58"/>
      <c r="FH92" s="58"/>
      <c r="FI92" s="58"/>
      <c r="FJ92" s="58"/>
      <c r="FK92" s="58"/>
      <c r="FL92" s="58"/>
      <c r="FM92" s="58"/>
      <c r="FN92" s="58"/>
      <c r="FO92" s="58"/>
      <c r="FP92" s="58"/>
      <c r="FQ92" s="58"/>
      <c r="FR92" s="58"/>
      <c r="FS92" s="58"/>
      <c r="FT92" s="58"/>
      <c r="FU92" s="58"/>
      <c r="FV92" s="58"/>
      <c r="FW92" s="58"/>
      <c r="FX92" s="58"/>
      <c r="FY92" s="58"/>
      <c r="FZ92" s="58"/>
      <c r="GA92" s="58"/>
      <c r="GB92" s="58"/>
      <c r="GC92" s="58"/>
      <c r="GD92" s="58"/>
      <c r="GE92" s="58"/>
      <c r="GF92" s="58"/>
      <c r="GG92" s="58"/>
      <c r="GH92" s="58"/>
      <c r="GI92" s="58"/>
      <c r="GJ92" s="58"/>
      <c r="GK92" s="58"/>
      <c r="GL92" s="58"/>
      <c r="GM92" s="58"/>
      <c r="GN92" s="58"/>
      <c r="GO92" s="58"/>
      <c r="GP92" s="58"/>
      <c r="GQ92" s="58"/>
      <c r="GR92" s="58"/>
      <c r="GS92" s="58"/>
      <c r="GT92" s="58"/>
      <c r="GU92" s="58"/>
      <c r="GV92" s="58"/>
      <c r="GW92" s="58"/>
      <c r="GX92" s="58"/>
      <c r="GY92" s="58"/>
      <c r="GZ92" s="58"/>
      <c r="HA92" s="58"/>
      <c r="HB92" s="58"/>
      <c r="HC92" s="58"/>
      <c r="HD92" s="58"/>
      <c r="HE92" s="58"/>
      <c r="HF92" s="58"/>
      <c r="HG92" s="58"/>
      <c r="HH92" s="58"/>
      <c r="HI92" s="58"/>
      <c r="HJ92" s="58"/>
      <c r="HK92" s="58"/>
      <c r="HL92" s="58"/>
      <c r="HM92" s="58"/>
      <c r="HN92" s="58"/>
      <c r="HO92" s="58"/>
      <c r="HP92" s="58"/>
      <c r="HQ92" s="58"/>
      <c r="HR92" s="58"/>
      <c r="HS92" s="58"/>
      <c r="HT92" s="58"/>
      <c r="HU92" s="58"/>
      <c r="HV92" s="58"/>
      <c r="HW92" s="58"/>
      <c r="HX92" s="58"/>
      <c r="HY92" s="58"/>
      <c r="HZ92" s="58"/>
      <c r="IA92" s="58"/>
      <c r="IB92" s="58"/>
      <c r="IC92" s="58"/>
      <c r="ID92" s="58"/>
      <c r="IE92" s="58"/>
      <c r="IF92" s="58"/>
      <c r="IG92" s="58"/>
      <c r="IH92" s="58"/>
      <c r="II92" s="58"/>
      <c r="IJ92" s="58"/>
      <c r="IK92" s="58"/>
      <c r="IL92" s="58"/>
      <c r="IM92" s="58"/>
      <c r="IN92" s="58"/>
      <c r="IO92" s="58"/>
      <c r="IP92" s="58"/>
      <c r="IQ92" s="58"/>
      <c r="IR92" s="58"/>
      <c r="IS92" s="58"/>
      <c r="IT92" s="58"/>
      <c r="IU92" s="58"/>
      <c r="IV92" s="58"/>
      <c r="IW92" s="58"/>
      <c r="IX92" s="58"/>
      <c r="IY92" s="58"/>
      <c r="IZ92" s="58"/>
      <c r="JA92" s="58"/>
      <c r="JB92" s="58"/>
      <c r="JC92" s="58"/>
      <c r="JD92" s="58"/>
      <c r="JE92" s="58"/>
      <c r="JF92" s="58"/>
      <c r="JG92" s="58"/>
      <c r="JH92" s="58"/>
      <c r="JI92" s="58"/>
      <c r="JJ92" s="58"/>
      <c r="JK92" s="58"/>
      <c r="JL92" s="58"/>
      <c r="JM92" s="58"/>
      <c r="JN92" s="58"/>
      <c r="JO92" s="58"/>
      <c r="JP92" s="58"/>
      <c r="JQ92" s="58"/>
      <c r="JR92" s="58"/>
      <c r="JS92" s="58"/>
      <c r="JT92" s="58"/>
      <c r="JU92" s="58"/>
      <c r="JV92" s="58"/>
      <c r="JW92" s="58"/>
      <c r="JX92" s="58"/>
      <c r="JY92" s="58"/>
      <c r="JZ92" s="58"/>
      <c r="KA92" s="58"/>
      <c r="KB92" s="58"/>
      <c r="KC92" s="58"/>
      <c r="KD92" s="58"/>
      <c r="KE92" s="58"/>
      <c r="KF92" s="58"/>
      <c r="KG92" s="58"/>
      <c r="KH92" s="58"/>
    </row>
    <row r="93" spans="1:309" s="30" customFormat="1" hidden="1" x14ac:dyDescent="0.3">
      <c r="A93" s="141"/>
      <c r="B93" s="141"/>
      <c r="C93" s="141"/>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c r="BA93" s="58"/>
      <c r="BB93" s="58"/>
      <c r="BC93" s="58"/>
      <c r="BD93" s="58"/>
      <c r="BE93" s="58"/>
      <c r="BF93" s="58"/>
      <c r="BG93" s="58"/>
      <c r="BH93" s="58"/>
      <c r="BI93" s="58"/>
      <c r="BJ93" s="58"/>
      <c r="BK93" s="58"/>
      <c r="BL93" s="58"/>
      <c r="BM93" s="58"/>
      <c r="BN93" s="58"/>
      <c r="BO93" s="58"/>
      <c r="BP93" s="58"/>
      <c r="BQ93" s="58"/>
      <c r="BR93" s="58"/>
      <c r="BS93" s="58"/>
      <c r="BT93" s="58"/>
      <c r="BU93" s="58"/>
      <c r="BV93" s="58"/>
      <c r="BW93" s="58"/>
      <c r="BX93" s="58"/>
      <c r="BY93" s="58"/>
      <c r="BZ93" s="58"/>
      <c r="CA93" s="58"/>
      <c r="CB93" s="58"/>
      <c r="CC93" s="58"/>
      <c r="CD93" s="58"/>
      <c r="CE93" s="58"/>
      <c r="CF93" s="58"/>
      <c r="CG93" s="58"/>
      <c r="CH93" s="58"/>
      <c r="CI93" s="58"/>
      <c r="CJ93" s="58"/>
      <c r="CK93" s="58"/>
      <c r="CL93" s="58"/>
      <c r="CM93" s="58"/>
      <c r="CN93" s="58"/>
      <c r="CO93" s="58"/>
      <c r="CP93" s="58"/>
      <c r="CQ93" s="58"/>
      <c r="CR93" s="58"/>
      <c r="CS93" s="58"/>
      <c r="CT93" s="58"/>
      <c r="CU93" s="58"/>
      <c r="CV93" s="58"/>
      <c r="CW93" s="58"/>
      <c r="CX93" s="58"/>
      <c r="CY93" s="58"/>
      <c r="CZ93" s="58"/>
      <c r="DA93" s="58"/>
      <c r="DB93" s="58"/>
      <c r="DC93" s="58"/>
      <c r="DD93" s="58"/>
      <c r="DE93" s="58"/>
      <c r="DF93" s="58"/>
      <c r="DG93" s="58"/>
      <c r="DH93" s="58"/>
      <c r="DI93" s="58"/>
      <c r="DJ93" s="58"/>
      <c r="DK93" s="58"/>
      <c r="DL93" s="58"/>
      <c r="DM93" s="58"/>
      <c r="DN93" s="58"/>
      <c r="DO93" s="58"/>
      <c r="DP93" s="58"/>
      <c r="DQ93" s="58"/>
      <c r="DR93" s="58"/>
      <c r="DS93" s="58"/>
      <c r="DT93" s="58"/>
      <c r="DU93" s="58"/>
      <c r="DV93" s="58"/>
      <c r="DW93" s="58"/>
      <c r="DX93" s="58"/>
      <c r="DY93" s="58"/>
      <c r="DZ93" s="58"/>
      <c r="EA93" s="58"/>
      <c r="EB93" s="58"/>
      <c r="EC93" s="58"/>
      <c r="ED93" s="58"/>
      <c r="EE93" s="58"/>
      <c r="EF93" s="58"/>
      <c r="EG93" s="58"/>
      <c r="EH93" s="58"/>
      <c r="EI93" s="58"/>
      <c r="EJ93" s="58"/>
      <c r="EK93" s="58"/>
      <c r="EL93" s="58"/>
      <c r="EM93" s="58"/>
      <c r="EN93" s="58"/>
      <c r="EO93" s="58"/>
      <c r="EP93" s="58"/>
      <c r="EQ93" s="58"/>
      <c r="ER93" s="58"/>
      <c r="ES93" s="58"/>
      <c r="ET93" s="58"/>
      <c r="EU93" s="58"/>
      <c r="EV93" s="58"/>
      <c r="EW93" s="58"/>
      <c r="EX93" s="58"/>
      <c r="EY93" s="58"/>
      <c r="EZ93" s="58"/>
      <c r="FA93" s="58"/>
      <c r="FB93" s="58"/>
      <c r="FC93" s="58"/>
      <c r="FD93" s="58"/>
      <c r="FE93" s="58"/>
      <c r="FF93" s="58"/>
      <c r="FG93" s="58"/>
      <c r="FH93" s="58"/>
      <c r="FI93" s="58"/>
      <c r="FJ93" s="58"/>
      <c r="FK93" s="58"/>
      <c r="FL93" s="58"/>
      <c r="FM93" s="58"/>
      <c r="FN93" s="58"/>
      <c r="FO93" s="58"/>
      <c r="FP93" s="58"/>
      <c r="FQ93" s="58"/>
      <c r="FR93" s="58"/>
      <c r="FS93" s="58"/>
      <c r="FT93" s="58"/>
      <c r="FU93" s="58"/>
      <c r="FV93" s="58"/>
      <c r="FW93" s="58"/>
      <c r="FX93" s="58"/>
      <c r="FY93" s="58"/>
      <c r="FZ93" s="58"/>
      <c r="GA93" s="58"/>
      <c r="GB93" s="58"/>
      <c r="GC93" s="58"/>
      <c r="GD93" s="58"/>
      <c r="GE93" s="58"/>
      <c r="GF93" s="58"/>
      <c r="GG93" s="58"/>
      <c r="GH93" s="58"/>
      <c r="GI93" s="58"/>
      <c r="GJ93" s="58"/>
      <c r="GK93" s="58"/>
      <c r="GL93" s="58"/>
      <c r="GM93" s="58"/>
      <c r="GN93" s="58"/>
      <c r="GO93" s="58"/>
      <c r="GP93" s="58"/>
      <c r="GQ93" s="58"/>
      <c r="GR93" s="58"/>
      <c r="GS93" s="58"/>
      <c r="GT93" s="58"/>
      <c r="GU93" s="58"/>
      <c r="GV93" s="58"/>
      <c r="GW93" s="58"/>
      <c r="GX93" s="58"/>
      <c r="GY93" s="58"/>
      <c r="GZ93" s="58"/>
      <c r="HA93" s="58"/>
      <c r="HB93" s="58"/>
      <c r="HC93" s="58"/>
      <c r="HD93" s="58"/>
      <c r="HE93" s="58"/>
      <c r="HF93" s="58"/>
      <c r="HG93" s="58"/>
      <c r="HH93" s="58"/>
      <c r="HI93" s="58"/>
      <c r="HJ93" s="58"/>
      <c r="HK93" s="58"/>
      <c r="HL93" s="58"/>
      <c r="HM93" s="58"/>
      <c r="HN93" s="58"/>
      <c r="HO93" s="58"/>
      <c r="HP93" s="58"/>
      <c r="HQ93" s="58"/>
      <c r="HR93" s="58"/>
      <c r="HS93" s="58"/>
      <c r="HT93" s="58"/>
      <c r="HU93" s="58"/>
      <c r="HV93" s="58"/>
      <c r="HW93" s="58"/>
      <c r="HX93" s="58"/>
      <c r="HY93" s="58"/>
      <c r="HZ93" s="58"/>
      <c r="IA93" s="58"/>
      <c r="IB93" s="58"/>
      <c r="IC93" s="58"/>
      <c r="ID93" s="58"/>
      <c r="IE93" s="58"/>
      <c r="IF93" s="58"/>
      <c r="IG93" s="58"/>
      <c r="IH93" s="58"/>
      <c r="II93" s="58"/>
      <c r="IJ93" s="58"/>
      <c r="IK93" s="58"/>
      <c r="IL93" s="58"/>
      <c r="IM93" s="58"/>
      <c r="IN93" s="58"/>
      <c r="IO93" s="58"/>
      <c r="IP93" s="58"/>
      <c r="IQ93" s="58"/>
      <c r="IR93" s="58"/>
      <c r="IS93" s="58"/>
      <c r="IT93" s="58"/>
      <c r="IU93" s="58"/>
      <c r="IV93" s="58"/>
      <c r="IW93" s="58"/>
      <c r="IX93" s="58"/>
      <c r="IY93" s="58"/>
      <c r="IZ93" s="58"/>
      <c r="JA93" s="58"/>
      <c r="JB93" s="58"/>
      <c r="JC93" s="58"/>
      <c r="JD93" s="58"/>
      <c r="JE93" s="58"/>
      <c r="JF93" s="58"/>
      <c r="JG93" s="58"/>
      <c r="JH93" s="58"/>
      <c r="JI93" s="58"/>
      <c r="JJ93" s="58"/>
      <c r="JK93" s="58"/>
      <c r="JL93" s="58"/>
      <c r="JM93" s="58"/>
      <c r="JN93" s="58"/>
      <c r="JO93" s="58"/>
      <c r="JP93" s="58"/>
      <c r="JQ93" s="58"/>
      <c r="JR93" s="58"/>
      <c r="JS93" s="58"/>
      <c r="JT93" s="58"/>
      <c r="JU93" s="58"/>
      <c r="JV93" s="58"/>
      <c r="JW93" s="58"/>
      <c r="JX93" s="58"/>
      <c r="JY93" s="58"/>
      <c r="JZ93" s="58"/>
      <c r="KA93" s="58"/>
      <c r="KB93" s="58"/>
      <c r="KC93" s="58"/>
      <c r="KD93" s="58"/>
      <c r="KE93" s="58"/>
      <c r="KF93" s="58"/>
      <c r="KG93" s="58"/>
      <c r="KH93" s="58"/>
    </row>
    <row r="94" spans="1:309" s="30" customFormat="1" hidden="1" x14ac:dyDescent="0.3">
      <c r="A94" s="141"/>
      <c r="B94" s="141"/>
      <c r="C94" s="141"/>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c r="BM94" s="58"/>
      <c r="BN94" s="58"/>
      <c r="BO94" s="58"/>
      <c r="BP94" s="58"/>
      <c r="BQ94" s="58"/>
      <c r="BR94" s="58"/>
      <c r="BS94" s="58"/>
      <c r="BT94" s="58"/>
      <c r="BU94" s="58"/>
      <c r="BV94" s="58"/>
      <c r="BW94" s="58"/>
      <c r="BX94" s="58"/>
      <c r="BY94" s="58"/>
      <c r="BZ94" s="58"/>
      <c r="CA94" s="58"/>
      <c r="CB94" s="58"/>
      <c r="CC94" s="58"/>
      <c r="CD94" s="58"/>
      <c r="CE94" s="58"/>
      <c r="CF94" s="58"/>
      <c r="CG94" s="58"/>
      <c r="CH94" s="58"/>
      <c r="CI94" s="58"/>
      <c r="CJ94" s="58"/>
      <c r="CK94" s="58"/>
      <c r="CL94" s="58"/>
      <c r="CM94" s="58"/>
      <c r="CN94" s="58"/>
      <c r="CO94" s="58"/>
      <c r="CP94" s="58"/>
      <c r="CQ94" s="58"/>
      <c r="CR94" s="58"/>
      <c r="CS94" s="58"/>
      <c r="CT94" s="58"/>
      <c r="CU94" s="58"/>
      <c r="CV94" s="58"/>
      <c r="CW94" s="58"/>
      <c r="CX94" s="58"/>
      <c r="CY94" s="58"/>
      <c r="CZ94" s="58"/>
      <c r="DA94" s="58"/>
      <c r="DB94" s="58"/>
      <c r="DC94" s="58"/>
      <c r="DD94" s="58"/>
      <c r="DE94" s="58"/>
      <c r="DF94" s="58"/>
      <c r="DG94" s="58"/>
      <c r="DH94" s="58"/>
      <c r="DI94" s="58"/>
      <c r="DJ94" s="58"/>
      <c r="DK94" s="58"/>
      <c r="DL94" s="58"/>
      <c r="DM94" s="58"/>
      <c r="DN94" s="58"/>
      <c r="DO94" s="58"/>
      <c r="DP94" s="58"/>
      <c r="DQ94" s="58"/>
      <c r="DR94" s="58"/>
      <c r="DS94" s="58"/>
      <c r="DT94" s="58"/>
      <c r="DU94" s="58"/>
      <c r="DV94" s="58"/>
      <c r="DW94" s="58"/>
      <c r="DX94" s="58"/>
      <c r="DY94" s="58"/>
      <c r="DZ94" s="58"/>
      <c r="EA94" s="58"/>
      <c r="EB94" s="58"/>
      <c r="EC94" s="58"/>
      <c r="ED94" s="58"/>
      <c r="EE94" s="58"/>
      <c r="EF94" s="58"/>
      <c r="EG94" s="58"/>
      <c r="EH94" s="58"/>
      <c r="EI94" s="58"/>
      <c r="EJ94" s="58"/>
      <c r="EK94" s="58"/>
      <c r="EL94" s="58"/>
      <c r="EM94" s="58"/>
      <c r="EN94" s="58"/>
      <c r="EO94" s="58"/>
      <c r="EP94" s="58"/>
      <c r="EQ94" s="58"/>
      <c r="ER94" s="58"/>
      <c r="ES94" s="58"/>
      <c r="ET94" s="58"/>
      <c r="EU94" s="58"/>
      <c r="EV94" s="58"/>
      <c r="EW94" s="58"/>
      <c r="EX94" s="58"/>
      <c r="EY94" s="58"/>
      <c r="EZ94" s="58"/>
      <c r="FA94" s="58"/>
      <c r="FB94" s="58"/>
      <c r="FC94" s="58"/>
      <c r="FD94" s="58"/>
      <c r="FE94" s="58"/>
      <c r="FF94" s="58"/>
      <c r="FG94" s="58"/>
      <c r="FH94" s="58"/>
      <c r="FI94" s="58"/>
      <c r="FJ94" s="58"/>
      <c r="FK94" s="58"/>
      <c r="FL94" s="58"/>
      <c r="FM94" s="58"/>
      <c r="FN94" s="58"/>
      <c r="FO94" s="58"/>
      <c r="FP94" s="58"/>
      <c r="FQ94" s="58"/>
      <c r="FR94" s="58"/>
      <c r="FS94" s="58"/>
      <c r="FT94" s="58"/>
      <c r="FU94" s="58"/>
      <c r="FV94" s="58"/>
      <c r="FW94" s="58"/>
      <c r="FX94" s="58"/>
      <c r="FY94" s="58"/>
      <c r="FZ94" s="58"/>
      <c r="GA94" s="58"/>
      <c r="GB94" s="58"/>
      <c r="GC94" s="58"/>
      <c r="GD94" s="58"/>
      <c r="GE94" s="58"/>
      <c r="GF94" s="58"/>
      <c r="GG94" s="58"/>
      <c r="GH94" s="58"/>
      <c r="GI94" s="58"/>
      <c r="GJ94" s="58"/>
      <c r="GK94" s="58"/>
      <c r="GL94" s="58"/>
      <c r="GM94" s="58"/>
      <c r="GN94" s="58"/>
      <c r="GO94" s="58"/>
      <c r="GP94" s="58"/>
      <c r="GQ94" s="58"/>
      <c r="GR94" s="58"/>
      <c r="GS94" s="58"/>
      <c r="GT94" s="58"/>
      <c r="GU94" s="58"/>
      <c r="GV94" s="58"/>
      <c r="GW94" s="58"/>
      <c r="GX94" s="58"/>
      <c r="GY94" s="58"/>
      <c r="GZ94" s="58"/>
      <c r="HA94" s="58"/>
      <c r="HB94" s="58"/>
      <c r="HC94" s="58"/>
      <c r="HD94" s="58"/>
      <c r="HE94" s="58"/>
      <c r="HF94" s="58"/>
      <c r="HG94" s="58"/>
      <c r="HH94" s="58"/>
      <c r="HI94" s="58"/>
      <c r="HJ94" s="58"/>
      <c r="HK94" s="58"/>
      <c r="HL94" s="58"/>
      <c r="HM94" s="58"/>
      <c r="HN94" s="58"/>
      <c r="HO94" s="58"/>
      <c r="HP94" s="58"/>
      <c r="HQ94" s="58"/>
      <c r="HR94" s="58"/>
      <c r="HS94" s="58"/>
      <c r="HT94" s="58"/>
      <c r="HU94" s="58"/>
      <c r="HV94" s="58"/>
      <c r="HW94" s="58"/>
      <c r="HX94" s="58"/>
      <c r="HY94" s="58"/>
      <c r="HZ94" s="58"/>
      <c r="IA94" s="58"/>
      <c r="IB94" s="58"/>
      <c r="IC94" s="58"/>
      <c r="ID94" s="58"/>
      <c r="IE94" s="58"/>
      <c r="IF94" s="58"/>
      <c r="IG94" s="58"/>
      <c r="IH94" s="58"/>
      <c r="II94" s="58"/>
      <c r="IJ94" s="58"/>
      <c r="IK94" s="58"/>
      <c r="IL94" s="58"/>
      <c r="IM94" s="58"/>
      <c r="IN94" s="58"/>
      <c r="IO94" s="58"/>
      <c r="IP94" s="58"/>
      <c r="IQ94" s="58"/>
      <c r="IR94" s="58"/>
      <c r="IS94" s="58"/>
      <c r="IT94" s="58"/>
      <c r="IU94" s="58"/>
      <c r="IV94" s="58"/>
      <c r="IW94" s="58"/>
      <c r="IX94" s="58"/>
      <c r="IY94" s="58"/>
      <c r="IZ94" s="58"/>
      <c r="JA94" s="58"/>
      <c r="JB94" s="58"/>
      <c r="JC94" s="58"/>
      <c r="JD94" s="58"/>
      <c r="JE94" s="58"/>
      <c r="JF94" s="58"/>
      <c r="JG94" s="58"/>
      <c r="JH94" s="58"/>
      <c r="JI94" s="58"/>
      <c r="JJ94" s="58"/>
      <c r="JK94" s="58"/>
      <c r="JL94" s="58"/>
      <c r="JM94" s="58"/>
      <c r="JN94" s="58"/>
      <c r="JO94" s="58"/>
      <c r="JP94" s="58"/>
      <c r="JQ94" s="58"/>
      <c r="JR94" s="58"/>
      <c r="JS94" s="58"/>
      <c r="JT94" s="58"/>
      <c r="JU94" s="58"/>
      <c r="JV94" s="58"/>
      <c r="JW94" s="58"/>
      <c r="JX94" s="58"/>
      <c r="JY94" s="58"/>
      <c r="JZ94" s="58"/>
      <c r="KA94" s="58"/>
    </row>
    <row r="95" spans="1:309" s="30" customFormat="1" hidden="1" x14ac:dyDescent="0.3">
      <c r="A95" s="141"/>
      <c r="B95" s="141"/>
      <c r="C95" s="141"/>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c r="BA95" s="58"/>
      <c r="BB95" s="58"/>
      <c r="BC95" s="58"/>
      <c r="BD95" s="58"/>
      <c r="BE95" s="58"/>
      <c r="BF95" s="58"/>
      <c r="BG95" s="58"/>
      <c r="BH95" s="58"/>
      <c r="BI95" s="58"/>
      <c r="BJ95" s="58"/>
      <c r="BK95" s="58"/>
      <c r="BL95" s="58"/>
      <c r="BM95" s="58"/>
      <c r="BN95" s="58"/>
      <c r="BO95" s="58"/>
      <c r="BP95" s="58"/>
      <c r="BQ95" s="58"/>
      <c r="BR95" s="58"/>
      <c r="BS95" s="58"/>
      <c r="BT95" s="58"/>
      <c r="BU95" s="58"/>
      <c r="BV95" s="58"/>
      <c r="BW95" s="58"/>
      <c r="BX95" s="58"/>
      <c r="BY95" s="58"/>
      <c r="BZ95" s="58"/>
      <c r="CA95" s="58"/>
      <c r="CB95" s="58"/>
      <c r="CC95" s="58"/>
      <c r="CD95" s="58"/>
      <c r="CE95" s="58"/>
      <c r="CF95" s="58"/>
      <c r="CG95" s="58"/>
      <c r="CH95" s="58"/>
      <c r="CI95" s="58"/>
      <c r="CJ95" s="58"/>
      <c r="CK95" s="58"/>
      <c r="CL95" s="58"/>
      <c r="CM95" s="58"/>
      <c r="CN95" s="58"/>
      <c r="CO95" s="58"/>
      <c r="CP95" s="58"/>
      <c r="CQ95" s="58"/>
      <c r="CR95" s="58"/>
      <c r="CS95" s="58"/>
      <c r="CT95" s="58"/>
      <c r="CU95" s="58"/>
      <c r="CV95" s="58"/>
      <c r="CW95" s="58"/>
      <c r="CX95" s="58"/>
      <c r="CY95" s="58"/>
      <c r="CZ95" s="58"/>
      <c r="DA95" s="58"/>
      <c r="DB95" s="58"/>
      <c r="DC95" s="58"/>
      <c r="DD95" s="58"/>
      <c r="DE95" s="58"/>
      <c r="DF95" s="58"/>
      <c r="DG95" s="58"/>
      <c r="DH95" s="58"/>
      <c r="DI95" s="58"/>
      <c r="DJ95" s="58"/>
      <c r="DK95" s="58"/>
      <c r="DL95" s="58"/>
      <c r="DM95" s="58"/>
      <c r="DN95" s="58"/>
      <c r="DO95" s="58"/>
      <c r="DP95" s="58"/>
      <c r="DQ95" s="58"/>
      <c r="DR95" s="58"/>
      <c r="DS95" s="58"/>
      <c r="DT95" s="58"/>
      <c r="DU95" s="58"/>
      <c r="DV95" s="58"/>
      <c r="DW95" s="58"/>
      <c r="DX95" s="58"/>
      <c r="DY95" s="58"/>
      <c r="DZ95" s="58"/>
      <c r="EA95" s="58"/>
      <c r="EB95" s="58"/>
      <c r="EC95" s="58"/>
      <c r="ED95" s="58"/>
      <c r="EE95" s="58"/>
      <c r="EF95" s="58"/>
      <c r="EG95" s="58"/>
      <c r="EH95" s="58"/>
      <c r="EI95" s="58"/>
      <c r="EJ95" s="58"/>
      <c r="EK95" s="58"/>
      <c r="EL95" s="58"/>
      <c r="EM95" s="58"/>
      <c r="EN95" s="58"/>
      <c r="EO95" s="58"/>
      <c r="EP95" s="58"/>
      <c r="EQ95" s="58"/>
      <c r="ER95" s="58"/>
      <c r="ES95" s="58"/>
      <c r="ET95" s="58"/>
      <c r="EU95" s="58"/>
      <c r="EV95" s="58"/>
      <c r="EW95" s="58"/>
      <c r="EX95" s="58"/>
      <c r="EY95" s="58"/>
      <c r="EZ95" s="58"/>
      <c r="FA95" s="58"/>
      <c r="FB95" s="58"/>
      <c r="FC95" s="58"/>
      <c r="FD95" s="58"/>
      <c r="FE95" s="58"/>
      <c r="FF95" s="58"/>
      <c r="FG95" s="58"/>
      <c r="FH95" s="58"/>
      <c r="FI95" s="58"/>
      <c r="FJ95" s="58"/>
      <c r="FK95" s="58"/>
      <c r="FL95" s="58"/>
      <c r="FM95" s="58"/>
      <c r="FN95" s="58"/>
      <c r="FO95" s="58"/>
      <c r="FP95" s="58"/>
      <c r="FQ95" s="58"/>
      <c r="FR95" s="58"/>
      <c r="FS95" s="58"/>
      <c r="FT95" s="58"/>
      <c r="FU95" s="58"/>
      <c r="FV95" s="58"/>
      <c r="FW95" s="58"/>
      <c r="FX95" s="58"/>
      <c r="FY95" s="58"/>
      <c r="FZ95" s="58"/>
      <c r="GA95" s="58"/>
      <c r="GB95" s="58"/>
      <c r="GC95" s="58"/>
      <c r="GD95" s="58"/>
      <c r="GE95" s="58"/>
      <c r="GF95" s="58"/>
      <c r="GG95" s="58"/>
      <c r="GH95" s="58"/>
      <c r="GI95" s="58"/>
      <c r="GJ95" s="58"/>
      <c r="GK95" s="58"/>
      <c r="GL95" s="58"/>
      <c r="GM95" s="58"/>
      <c r="GN95" s="58"/>
      <c r="GO95" s="58"/>
      <c r="GP95" s="58"/>
      <c r="GQ95" s="58"/>
      <c r="GR95" s="58"/>
      <c r="GS95" s="58"/>
      <c r="GT95" s="58"/>
      <c r="GU95" s="58"/>
      <c r="GV95" s="58"/>
      <c r="GW95" s="58"/>
      <c r="GX95" s="58"/>
      <c r="GY95" s="58"/>
      <c r="GZ95" s="58"/>
      <c r="HA95" s="58"/>
      <c r="HB95" s="58"/>
      <c r="HC95" s="58"/>
      <c r="HD95" s="58"/>
      <c r="HE95" s="58"/>
      <c r="HF95" s="58"/>
      <c r="HG95" s="58"/>
      <c r="HH95" s="58"/>
      <c r="HI95" s="58"/>
      <c r="HJ95" s="58"/>
      <c r="HK95" s="58"/>
      <c r="HL95" s="58"/>
      <c r="HM95" s="58"/>
      <c r="HN95" s="58"/>
      <c r="HO95" s="58"/>
      <c r="HP95" s="58"/>
      <c r="HQ95" s="58"/>
      <c r="HR95" s="58"/>
      <c r="HS95" s="58"/>
      <c r="HT95" s="58"/>
      <c r="HU95" s="58"/>
      <c r="HV95" s="58"/>
      <c r="HW95" s="58"/>
      <c r="HX95" s="58"/>
      <c r="HY95" s="58"/>
      <c r="HZ95" s="58"/>
      <c r="IA95" s="58"/>
      <c r="IB95" s="58"/>
      <c r="IC95" s="58"/>
      <c r="ID95" s="58"/>
      <c r="IE95" s="58"/>
      <c r="IF95" s="58"/>
      <c r="IG95" s="58"/>
      <c r="IH95" s="58"/>
      <c r="II95" s="58"/>
      <c r="IJ95" s="58"/>
      <c r="IK95" s="58"/>
      <c r="IL95" s="58"/>
      <c r="IM95" s="58"/>
      <c r="IN95" s="58"/>
      <c r="IO95" s="58"/>
      <c r="IP95" s="58"/>
      <c r="IQ95" s="58"/>
      <c r="IR95" s="58"/>
      <c r="IS95" s="58"/>
      <c r="IT95" s="58"/>
      <c r="IU95" s="58"/>
      <c r="IV95" s="58"/>
      <c r="IW95" s="58"/>
      <c r="IX95" s="58"/>
      <c r="IY95" s="58"/>
      <c r="IZ95" s="58"/>
      <c r="JA95" s="58"/>
      <c r="JB95" s="58"/>
      <c r="JC95" s="58"/>
      <c r="JD95" s="58"/>
      <c r="JE95" s="58"/>
      <c r="JF95" s="58"/>
      <c r="JG95" s="58"/>
      <c r="JH95" s="58"/>
      <c r="JI95" s="58"/>
      <c r="JJ95" s="58"/>
      <c r="JK95" s="58"/>
      <c r="JL95" s="58"/>
      <c r="JM95" s="58"/>
      <c r="JN95" s="58"/>
      <c r="JO95" s="58"/>
      <c r="JP95" s="58"/>
      <c r="JQ95" s="58"/>
      <c r="JR95" s="58"/>
      <c r="JS95" s="58"/>
      <c r="JT95" s="58"/>
      <c r="JU95" s="58"/>
      <c r="JV95" s="58"/>
      <c r="JW95" s="58"/>
      <c r="JX95" s="58"/>
      <c r="JY95" s="58"/>
      <c r="JZ95" s="58"/>
      <c r="KA95" s="58"/>
    </row>
    <row r="96" spans="1:309" s="30" customFormat="1" hidden="1" x14ac:dyDescent="0.3">
      <c r="A96" s="141"/>
      <c r="B96" s="141"/>
      <c r="C96" s="141"/>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c r="BA96" s="58"/>
      <c r="BB96" s="58"/>
      <c r="BC96" s="58"/>
      <c r="BD96" s="58"/>
      <c r="BE96" s="58"/>
      <c r="BF96" s="58"/>
      <c r="BG96" s="58"/>
      <c r="BH96" s="58"/>
      <c r="BI96" s="58"/>
      <c r="BJ96" s="58"/>
      <c r="BK96" s="58"/>
      <c r="BL96" s="58"/>
      <c r="BM96" s="58"/>
      <c r="BN96" s="58"/>
      <c r="BO96" s="58"/>
      <c r="BP96" s="58"/>
      <c r="BQ96" s="58"/>
      <c r="BR96" s="58"/>
      <c r="BS96" s="58"/>
      <c r="BT96" s="58"/>
      <c r="BU96" s="58"/>
      <c r="BV96" s="58"/>
      <c r="BW96" s="58"/>
      <c r="BX96" s="58"/>
      <c r="BY96" s="58"/>
      <c r="BZ96" s="58"/>
      <c r="CA96" s="58"/>
      <c r="CB96" s="58"/>
      <c r="CC96" s="58"/>
      <c r="CD96" s="58"/>
      <c r="CE96" s="58"/>
      <c r="CF96" s="58"/>
      <c r="CG96" s="58"/>
      <c r="CH96" s="58"/>
      <c r="CI96" s="58"/>
      <c r="CJ96" s="58"/>
      <c r="CK96" s="58"/>
      <c r="CL96" s="58"/>
      <c r="CM96" s="58"/>
      <c r="CN96" s="58"/>
      <c r="CO96" s="58"/>
      <c r="CP96" s="58"/>
      <c r="CQ96" s="58"/>
      <c r="CR96" s="58"/>
      <c r="CS96" s="58"/>
      <c r="CT96" s="58"/>
      <c r="CU96" s="58"/>
      <c r="CV96" s="58"/>
      <c r="CW96" s="58"/>
      <c r="CX96" s="58"/>
      <c r="CY96" s="58"/>
      <c r="CZ96" s="58"/>
      <c r="DA96" s="58"/>
      <c r="DB96" s="58"/>
      <c r="DC96" s="58"/>
      <c r="DD96" s="58"/>
      <c r="DE96" s="58"/>
      <c r="DF96" s="58"/>
      <c r="DG96" s="58"/>
      <c r="DH96" s="58"/>
      <c r="DI96" s="58"/>
      <c r="DJ96" s="58"/>
      <c r="DK96" s="58"/>
      <c r="DL96" s="58"/>
      <c r="DM96" s="58"/>
      <c r="DN96" s="58"/>
      <c r="DO96" s="58"/>
      <c r="DP96" s="58"/>
      <c r="DQ96" s="58"/>
      <c r="DR96" s="58"/>
      <c r="DS96" s="58"/>
      <c r="DT96" s="58"/>
      <c r="DU96" s="58"/>
      <c r="DV96" s="58"/>
      <c r="DW96" s="58"/>
      <c r="DX96" s="58"/>
      <c r="DY96" s="58"/>
      <c r="DZ96" s="58"/>
      <c r="EA96" s="58"/>
      <c r="EB96" s="58"/>
      <c r="EC96" s="58"/>
      <c r="ED96" s="58"/>
      <c r="EE96" s="58"/>
      <c r="EF96" s="58"/>
      <c r="EG96" s="58"/>
      <c r="EH96" s="58"/>
      <c r="EI96" s="58"/>
      <c r="EJ96" s="58"/>
      <c r="EK96" s="58"/>
      <c r="EL96" s="58"/>
      <c r="EM96" s="58"/>
      <c r="EN96" s="58"/>
      <c r="EO96" s="58"/>
      <c r="EP96" s="58"/>
      <c r="EQ96" s="58"/>
      <c r="ER96" s="58"/>
      <c r="ES96" s="58"/>
      <c r="ET96" s="58"/>
      <c r="EU96" s="58"/>
      <c r="EV96" s="58"/>
      <c r="EW96" s="58"/>
      <c r="EX96" s="58"/>
      <c r="EY96" s="58"/>
      <c r="EZ96" s="58"/>
      <c r="FA96" s="58"/>
      <c r="FB96" s="58"/>
      <c r="FC96" s="58"/>
      <c r="FD96" s="58"/>
      <c r="FE96" s="58"/>
      <c r="FF96" s="58"/>
      <c r="FG96" s="58"/>
      <c r="FH96" s="58"/>
      <c r="FI96" s="58"/>
      <c r="FJ96" s="58"/>
      <c r="FK96" s="58"/>
      <c r="FL96" s="58"/>
      <c r="FM96" s="58"/>
      <c r="FN96" s="58"/>
      <c r="FO96" s="58"/>
      <c r="FP96" s="58"/>
      <c r="FQ96" s="58"/>
      <c r="FR96" s="58"/>
      <c r="FS96" s="58"/>
      <c r="FT96" s="58"/>
      <c r="FU96" s="58"/>
      <c r="FV96" s="58"/>
      <c r="FW96" s="58"/>
      <c r="FX96" s="58"/>
      <c r="FY96" s="58"/>
      <c r="FZ96" s="58"/>
      <c r="GA96" s="58"/>
      <c r="GB96" s="58"/>
      <c r="GC96" s="58"/>
      <c r="GD96" s="58"/>
      <c r="GE96" s="58"/>
      <c r="GF96" s="58"/>
      <c r="GG96" s="58"/>
      <c r="GH96" s="58"/>
      <c r="GI96" s="58"/>
      <c r="GJ96" s="58"/>
      <c r="GK96" s="58"/>
      <c r="GL96" s="58"/>
      <c r="GM96" s="58"/>
      <c r="GN96" s="58"/>
      <c r="GO96" s="58"/>
      <c r="GP96" s="58"/>
      <c r="GQ96" s="58"/>
      <c r="GR96" s="58"/>
      <c r="GS96" s="58"/>
      <c r="GT96" s="58"/>
      <c r="GU96" s="58"/>
      <c r="GV96" s="58"/>
      <c r="GW96" s="58"/>
      <c r="GX96" s="58"/>
      <c r="GY96" s="58"/>
      <c r="GZ96" s="58"/>
      <c r="HA96" s="58"/>
      <c r="HB96" s="58"/>
      <c r="HC96" s="58"/>
      <c r="HD96" s="58"/>
      <c r="HE96" s="58"/>
      <c r="HF96" s="58"/>
      <c r="HG96" s="58"/>
      <c r="HH96" s="58"/>
      <c r="HI96" s="58"/>
      <c r="HJ96" s="58"/>
      <c r="HK96" s="58"/>
      <c r="HL96" s="58"/>
      <c r="HM96" s="58"/>
      <c r="HN96" s="58"/>
      <c r="HO96" s="58"/>
      <c r="HP96" s="58"/>
      <c r="HQ96" s="58"/>
      <c r="HR96" s="58"/>
    </row>
    <row r="97" spans="1:301" s="30" customFormat="1" hidden="1" x14ac:dyDescent="0.3">
      <c r="A97" s="141"/>
      <c r="B97" s="141"/>
      <c r="C97" s="141"/>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c r="BA97" s="58"/>
      <c r="BB97" s="58"/>
      <c r="BC97" s="58"/>
      <c r="BD97" s="58"/>
      <c r="BE97" s="58"/>
      <c r="BF97" s="58"/>
      <c r="BG97" s="58"/>
      <c r="BH97" s="58"/>
      <c r="BI97" s="58"/>
      <c r="BJ97" s="58"/>
      <c r="BK97" s="58"/>
      <c r="BL97" s="58"/>
      <c r="BM97" s="58"/>
      <c r="BN97" s="58"/>
      <c r="BO97" s="58"/>
      <c r="BP97" s="58"/>
      <c r="BQ97" s="58"/>
      <c r="BR97" s="58"/>
      <c r="BS97" s="58"/>
      <c r="BT97" s="58"/>
      <c r="BU97" s="58"/>
      <c r="BV97" s="58"/>
      <c r="BW97" s="58"/>
      <c r="BX97" s="58"/>
      <c r="BY97" s="58"/>
      <c r="BZ97" s="58"/>
      <c r="CA97" s="58"/>
      <c r="CB97" s="58"/>
      <c r="CC97" s="58"/>
      <c r="CD97" s="58"/>
      <c r="CE97" s="58"/>
      <c r="CF97" s="58"/>
      <c r="CG97" s="58"/>
      <c r="CH97" s="58"/>
      <c r="CI97" s="58"/>
      <c r="CJ97" s="58"/>
      <c r="CK97" s="58"/>
      <c r="CL97" s="58"/>
      <c r="CM97" s="58"/>
      <c r="CN97" s="58"/>
      <c r="CO97" s="58"/>
      <c r="CP97" s="58"/>
      <c r="CQ97" s="58"/>
      <c r="CR97" s="58"/>
      <c r="CS97" s="58"/>
      <c r="CT97" s="58"/>
      <c r="CU97" s="58"/>
      <c r="CV97" s="58"/>
      <c r="CW97" s="58"/>
      <c r="CX97" s="58"/>
      <c r="CY97" s="58"/>
      <c r="CZ97" s="58"/>
      <c r="DA97" s="58"/>
      <c r="DB97" s="58"/>
      <c r="DC97" s="58"/>
      <c r="DD97" s="58"/>
      <c r="DE97" s="58"/>
      <c r="DF97" s="58"/>
      <c r="DG97" s="58"/>
      <c r="DH97" s="58"/>
      <c r="DI97" s="58"/>
      <c r="DJ97" s="58"/>
      <c r="DK97" s="58"/>
      <c r="DL97" s="58"/>
      <c r="DM97" s="58"/>
      <c r="DN97" s="58"/>
      <c r="DO97" s="58"/>
      <c r="DP97" s="58"/>
      <c r="DQ97" s="58"/>
      <c r="DR97" s="58"/>
      <c r="DS97" s="58"/>
      <c r="DT97" s="58"/>
      <c r="DU97" s="58"/>
      <c r="DV97" s="58"/>
      <c r="DW97" s="58"/>
      <c r="DX97" s="58"/>
      <c r="DY97" s="58"/>
      <c r="DZ97" s="58"/>
      <c r="EA97" s="58"/>
      <c r="EB97" s="58"/>
      <c r="EC97" s="58"/>
      <c r="ED97" s="58"/>
      <c r="EE97" s="58"/>
      <c r="EF97" s="58"/>
      <c r="EG97" s="58"/>
      <c r="EH97" s="58"/>
      <c r="EI97" s="58"/>
      <c r="EJ97" s="58"/>
      <c r="EK97" s="58"/>
      <c r="EL97" s="58"/>
      <c r="EM97" s="58"/>
      <c r="EN97" s="58"/>
      <c r="EO97" s="58"/>
      <c r="EP97" s="58"/>
      <c r="EQ97" s="58"/>
      <c r="ER97" s="58"/>
      <c r="ES97" s="58"/>
      <c r="ET97" s="58"/>
      <c r="EU97" s="58"/>
      <c r="EV97" s="58"/>
      <c r="EW97" s="58"/>
      <c r="EX97" s="58"/>
      <c r="EY97" s="58"/>
      <c r="EZ97" s="58"/>
      <c r="FA97" s="58"/>
      <c r="FB97" s="58"/>
      <c r="FC97" s="58"/>
      <c r="FD97" s="58"/>
      <c r="FE97" s="58"/>
      <c r="FF97" s="58"/>
      <c r="FG97" s="58"/>
      <c r="FH97" s="58"/>
      <c r="FI97" s="58"/>
      <c r="FJ97" s="58"/>
      <c r="FK97" s="58"/>
      <c r="FL97" s="58"/>
      <c r="FM97" s="58"/>
      <c r="FN97" s="58"/>
      <c r="FO97" s="58"/>
      <c r="FP97" s="58"/>
      <c r="FQ97" s="58"/>
      <c r="FR97" s="58"/>
      <c r="FS97" s="58"/>
      <c r="FT97" s="58"/>
      <c r="FU97" s="58"/>
      <c r="FV97" s="58"/>
      <c r="FW97" s="58"/>
      <c r="FX97" s="58"/>
      <c r="FY97" s="58"/>
      <c r="FZ97" s="58"/>
      <c r="GA97" s="58"/>
      <c r="GB97" s="58"/>
      <c r="GC97" s="58"/>
      <c r="GD97" s="58"/>
      <c r="GE97" s="58"/>
      <c r="GF97" s="58"/>
      <c r="GG97" s="58"/>
      <c r="GH97" s="58"/>
      <c r="GI97" s="58"/>
      <c r="GJ97" s="58"/>
      <c r="GK97" s="58"/>
      <c r="GL97" s="58"/>
      <c r="GM97" s="58"/>
      <c r="GN97" s="58"/>
      <c r="GO97" s="58"/>
      <c r="GP97" s="58"/>
      <c r="GQ97" s="58"/>
      <c r="GR97" s="58"/>
      <c r="GS97" s="58"/>
      <c r="GT97" s="58"/>
      <c r="GU97" s="58"/>
      <c r="GV97" s="58"/>
      <c r="GW97" s="58"/>
      <c r="GX97" s="58"/>
      <c r="GY97" s="58"/>
      <c r="GZ97" s="58"/>
      <c r="HA97" s="58"/>
      <c r="HB97" s="58"/>
      <c r="HC97" s="58"/>
      <c r="HD97" s="58"/>
      <c r="HE97" s="58"/>
      <c r="HF97" s="58"/>
      <c r="HG97" s="58"/>
      <c r="HH97" s="58"/>
      <c r="HI97" s="58"/>
      <c r="HJ97" s="58"/>
      <c r="HK97" s="58"/>
      <c r="HL97" s="58"/>
      <c r="HM97" s="58"/>
      <c r="HN97" s="58"/>
      <c r="HO97" s="58"/>
      <c r="HP97" s="58"/>
      <c r="HQ97" s="58"/>
      <c r="HR97" s="58"/>
    </row>
    <row r="98" spans="1:301" s="30" customFormat="1" hidden="1" x14ac:dyDescent="0.3">
      <c r="A98" s="141"/>
      <c r="B98" s="141"/>
      <c r="C98" s="141"/>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c r="BA98" s="58"/>
      <c r="BB98" s="58"/>
      <c r="BC98" s="58"/>
      <c r="BD98" s="58"/>
      <c r="BE98" s="58"/>
      <c r="BF98" s="58"/>
      <c r="BG98" s="58"/>
      <c r="BH98" s="58"/>
      <c r="BI98" s="58"/>
      <c r="BJ98" s="58"/>
      <c r="BK98" s="58"/>
      <c r="BL98" s="58"/>
      <c r="BM98" s="58"/>
      <c r="BN98" s="58"/>
      <c r="BO98" s="58"/>
      <c r="BP98" s="58"/>
      <c r="BQ98" s="58"/>
      <c r="BR98" s="58"/>
      <c r="BS98" s="58"/>
      <c r="BT98" s="58"/>
      <c r="BU98" s="58"/>
      <c r="BV98" s="58"/>
      <c r="BW98" s="58"/>
      <c r="BX98" s="58"/>
      <c r="BY98" s="58"/>
      <c r="BZ98" s="58"/>
      <c r="CA98" s="58"/>
      <c r="CB98" s="58"/>
      <c r="CC98" s="58"/>
      <c r="CD98" s="58"/>
      <c r="CE98" s="58"/>
      <c r="CF98" s="58"/>
      <c r="CG98" s="58"/>
      <c r="CH98" s="58"/>
      <c r="CI98" s="58"/>
      <c r="CJ98" s="58"/>
      <c r="CK98" s="58"/>
      <c r="CL98" s="58"/>
      <c r="CM98" s="58"/>
      <c r="CN98" s="58"/>
      <c r="CO98" s="58"/>
      <c r="CP98" s="58"/>
      <c r="CQ98" s="58"/>
      <c r="CR98" s="58"/>
      <c r="CS98" s="58"/>
      <c r="CT98" s="58"/>
      <c r="CU98" s="58"/>
      <c r="CV98" s="58"/>
      <c r="CW98" s="58"/>
      <c r="CX98" s="58"/>
      <c r="CY98" s="58"/>
      <c r="CZ98" s="58"/>
      <c r="DA98" s="58"/>
      <c r="DB98" s="58"/>
      <c r="DC98" s="58"/>
      <c r="DD98" s="58"/>
      <c r="DE98" s="58"/>
      <c r="DF98" s="58"/>
      <c r="DG98" s="58"/>
      <c r="DH98" s="58"/>
      <c r="DI98" s="58"/>
      <c r="DJ98" s="58"/>
      <c r="DK98" s="58"/>
      <c r="DL98" s="58"/>
      <c r="DM98" s="58"/>
      <c r="DN98" s="58"/>
      <c r="DO98" s="58"/>
      <c r="DP98" s="58"/>
      <c r="DQ98" s="58"/>
      <c r="DR98" s="58"/>
      <c r="DS98" s="58"/>
      <c r="DT98" s="58"/>
      <c r="DU98" s="58"/>
      <c r="DV98" s="58"/>
      <c r="DW98" s="58"/>
      <c r="DX98" s="58"/>
      <c r="DY98" s="58"/>
      <c r="DZ98" s="58"/>
      <c r="EA98" s="58"/>
      <c r="EB98" s="58"/>
      <c r="EC98" s="58"/>
      <c r="ED98" s="58"/>
      <c r="EE98" s="58"/>
      <c r="EF98" s="58"/>
      <c r="EG98" s="58"/>
      <c r="EH98" s="58"/>
      <c r="EI98" s="58"/>
      <c r="EJ98" s="58"/>
      <c r="EK98" s="58"/>
      <c r="EL98" s="58"/>
      <c r="EM98" s="58"/>
      <c r="EN98" s="58"/>
      <c r="EO98" s="58"/>
      <c r="EP98" s="58"/>
      <c r="EQ98" s="58"/>
      <c r="ER98" s="58"/>
      <c r="ES98" s="58"/>
      <c r="ET98" s="58"/>
      <c r="EU98" s="58"/>
      <c r="EV98" s="58"/>
      <c r="EW98" s="58"/>
      <c r="EX98" s="58"/>
      <c r="EY98" s="58"/>
      <c r="EZ98" s="58"/>
      <c r="FA98" s="58"/>
      <c r="FB98" s="58"/>
      <c r="FC98" s="58"/>
      <c r="FD98" s="58"/>
      <c r="FE98" s="58"/>
      <c r="FF98" s="58"/>
      <c r="FG98" s="58"/>
      <c r="FH98" s="58"/>
      <c r="FI98" s="58"/>
      <c r="FJ98" s="58"/>
      <c r="FK98" s="58"/>
      <c r="FL98" s="58"/>
      <c r="FM98" s="58"/>
      <c r="FN98" s="58"/>
      <c r="FO98" s="58"/>
      <c r="FP98" s="58"/>
      <c r="FQ98" s="58"/>
      <c r="FR98" s="58"/>
      <c r="FS98" s="58"/>
      <c r="FT98" s="58"/>
      <c r="FU98" s="58"/>
      <c r="FV98" s="58"/>
      <c r="FW98" s="58"/>
      <c r="FX98" s="58"/>
      <c r="FY98" s="58"/>
      <c r="FZ98" s="58"/>
      <c r="GA98" s="58"/>
      <c r="GB98" s="58"/>
      <c r="GC98" s="58"/>
      <c r="GD98" s="58"/>
      <c r="GE98" s="58"/>
      <c r="GF98" s="58"/>
      <c r="GG98" s="58"/>
      <c r="GH98" s="58"/>
      <c r="GI98" s="58"/>
      <c r="GJ98" s="58"/>
      <c r="GK98" s="58"/>
      <c r="GL98" s="58"/>
      <c r="GM98" s="58"/>
      <c r="GN98" s="58"/>
      <c r="GO98" s="58"/>
      <c r="GP98" s="58"/>
      <c r="GQ98" s="58"/>
      <c r="GR98" s="58"/>
      <c r="GS98" s="58"/>
      <c r="GT98" s="58"/>
      <c r="GU98" s="58"/>
      <c r="GV98" s="58"/>
      <c r="GW98" s="58"/>
      <c r="GX98" s="58"/>
      <c r="GY98" s="58"/>
      <c r="GZ98" s="58"/>
      <c r="HA98" s="58"/>
      <c r="HB98" s="58"/>
      <c r="HC98" s="58"/>
      <c r="HD98" s="58"/>
      <c r="HE98" s="58"/>
      <c r="HF98" s="58"/>
      <c r="HG98" s="58"/>
      <c r="HH98" s="58"/>
      <c r="HI98" s="58"/>
      <c r="HJ98" s="58"/>
      <c r="HK98" s="58"/>
      <c r="HL98" s="58"/>
      <c r="HM98" s="58"/>
      <c r="HN98" s="58"/>
      <c r="HO98" s="58"/>
      <c r="HP98" s="58"/>
      <c r="HQ98" s="58"/>
      <c r="HR98" s="58"/>
    </row>
    <row r="99" spans="1:301" s="30" customFormat="1" hidden="1" x14ac:dyDescent="0.3">
      <c r="A99" s="141"/>
      <c r="B99" s="141"/>
      <c r="C99" s="141"/>
      <c r="E99" s="58"/>
      <c r="F99" s="58"/>
      <c r="G99" s="58"/>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c r="BA99" s="58"/>
      <c r="BB99" s="58"/>
      <c r="BC99" s="58"/>
      <c r="BD99" s="58"/>
      <c r="BE99" s="58"/>
      <c r="BF99" s="58"/>
      <c r="BG99" s="58"/>
      <c r="BH99" s="58"/>
      <c r="BI99" s="58"/>
      <c r="BJ99" s="58"/>
      <c r="BK99" s="58"/>
      <c r="BL99" s="58"/>
      <c r="BM99" s="58"/>
      <c r="BN99" s="58"/>
      <c r="BO99" s="58"/>
      <c r="BP99" s="58"/>
      <c r="BQ99" s="58"/>
      <c r="BR99" s="58"/>
      <c r="BS99" s="58"/>
      <c r="BT99" s="58"/>
      <c r="BU99" s="58"/>
      <c r="BV99" s="58"/>
      <c r="BW99" s="58"/>
      <c r="BX99" s="58"/>
      <c r="BY99" s="58"/>
      <c r="BZ99" s="58"/>
      <c r="CA99" s="58"/>
      <c r="CB99" s="58"/>
      <c r="CC99" s="58"/>
      <c r="CD99" s="58"/>
      <c r="CE99" s="58"/>
      <c r="CF99" s="58"/>
      <c r="CG99" s="58"/>
      <c r="CH99" s="58"/>
      <c r="CI99" s="58"/>
      <c r="CJ99" s="58"/>
      <c r="CK99" s="58"/>
      <c r="CL99" s="58"/>
      <c r="CM99" s="58"/>
      <c r="CN99" s="58"/>
      <c r="CO99" s="58"/>
      <c r="CP99" s="58"/>
      <c r="CQ99" s="58"/>
      <c r="CR99" s="58"/>
      <c r="CS99" s="58"/>
      <c r="CT99" s="58"/>
      <c r="CU99" s="58"/>
      <c r="CV99" s="58"/>
      <c r="CW99" s="58"/>
      <c r="CX99" s="58"/>
      <c r="CY99" s="58"/>
      <c r="CZ99" s="58"/>
      <c r="DA99" s="58"/>
      <c r="DB99" s="58"/>
      <c r="DC99" s="58"/>
      <c r="DD99" s="58"/>
      <c r="DE99" s="58"/>
      <c r="DF99" s="58"/>
      <c r="DG99" s="58"/>
      <c r="DH99" s="58"/>
      <c r="DI99" s="58"/>
      <c r="DJ99" s="58"/>
      <c r="DK99" s="58"/>
      <c r="DL99" s="58"/>
      <c r="DM99" s="58"/>
      <c r="DN99" s="58"/>
      <c r="DO99" s="58"/>
      <c r="DP99" s="58"/>
      <c r="DQ99" s="58"/>
      <c r="DR99" s="58"/>
      <c r="DS99" s="58"/>
      <c r="DT99" s="58"/>
      <c r="DU99" s="58"/>
      <c r="DV99" s="58"/>
      <c r="DW99" s="58"/>
      <c r="DX99" s="58"/>
      <c r="DY99" s="58"/>
      <c r="DZ99" s="58"/>
      <c r="EA99" s="58"/>
      <c r="EB99" s="58"/>
      <c r="EC99" s="58"/>
      <c r="ED99" s="58"/>
      <c r="EE99" s="58"/>
      <c r="EF99" s="58"/>
      <c r="EG99" s="58"/>
      <c r="EH99" s="58"/>
      <c r="EI99" s="58"/>
      <c r="EJ99" s="58"/>
      <c r="EK99" s="58"/>
      <c r="EL99" s="58"/>
      <c r="EM99" s="58"/>
      <c r="EN99" s="58"/>
      <c r="EO99" s="58"/>
      <c r="EP99" s="58"/>
      <c r="EQ99" s="58"/>
      <c r="ER99" s="58"/>
      <c r="ES99" s="58"/>
      <c r="ET99" s="58"/>
      <c r="EU99" s="58"/>
      <c r="EV99" s="58"/>
      <c r="EW99" s="58"/>
      <c r="EX99" s="58"/>
      <c r="EY99" s="58"/>
      <c r="EZ99" s="58"/>
      <c r="FA99" s="58"/>
      <c r="FB99" s="58"/>
      <c r="FC99" s="58"/>
      <c r="FD99" s="58"/>
      <c r="FE99" s="58"/>
      <c r="FF99" s="58"/>
      <c r="FG99" s="58"/>
      <c r="FH99" s="58"/>
      <c r="FI99" s="58"/>
      <c r="FJ99" s="58"/>
      <c r="FK99" s="58"/>
      <c r="FL99" s="58"/>
      <c r="FM99" s="58"/>
      <c r="FN99" s="58"/>
      <c r="FO99" s="58"/>
      <c r="FP99" s="58"/>
      <c r="FQ99" s="58"/>
      <c r="FR99" s="58"/>
      <c r="FS99" s="58"/>
      <c r="FT99" s="58"/>
      <c r="FU99" s="58"/>
      <c r="FV99" s="58"/>
      <c r="FW99" s="58"/>
      <c r="FX99" s="58"/>
      <c r="FY99" s="58"/>
      <c r="FZ99" s="58"/>
      <c r="GA99" s="58"/>
      <c r="GB99" s="58"/>
      <c r="GC99" s="58"/>
      <c r="GD99" s="58"/>
      <c r="GE99" s="58"/>
      <c r="GF99" s="58"/>
      <c r="GG99" s="58"/>
      <c r="GH99" s="58"/>
      <c r="GI99" s="58"/>
      <c r="GJ99" s="58"/>
      <c r="GK99" s="58"/>
      <c r="GL99" s="58"/>
      <c r="GM99" s="58"/>
      <c r="GN99" s="58"/>
      <c r="GO99" s="58"/>
      <c r="GP99" s="58"/>
      <c r="GQ99" s="58"/>
      <c r="GR99" s="58"/>
      <c r="GS99" s="58"/>
      <c r="GT99" s="58"/>
      <c r="GU99" s="58"/>
      <c r="GV99" s="58"/>
      <c r="GW99" s="58"/>
      <c r="GX99" s="58"/>
      <c r="GY99" s="58"/>
      <c r="GZ99" s="58"/>
      <c r="HA99" s="58"/>
      <c r="HB99" s="58"/>
      <c r="HC99" s="58"/>
      <c r="HD99" s="58"/>
      <c r="HE99" s="58"/>
      <c r="HF99" s="58"/>
      <c r="HG99" s="58"/>
      <c r="HH99" s="58"/>
      <c r="HI99" s="58"/>
      <c r="HJ99" s="58"/>
      <c r="HK99" s="58"/>
      <c r="HL99" s="58"/>
      <c r="HM99" s="58"/>
      <c r="HN99" s="58"/>
      <c r="HO99" s="58"/>
      <c r="HP99" s="58"/>
      <c r="HQ99" s="58"/>
      <c r="HR99" s="58"/>
      <c r="HS99" s="58"/>
      <c r="HT99" s="58"/>
      <c r="HU99" s="58"/>
      <c r="HV99" s="58"/>
      <c r="HW99" s="58"/>
      <c r="HX99" s="58"/>
      <c r="HY99" s="58"/>
      <c r="HZ99" s="58"/>
      <c r="IA99" s="58"/>
      <c r="IB99" s="58"/>
      <c r="IC99" s="58"/>
      <c r="ID99" s="58"/>
      <c r="IE99" s="58"/>
      <c r="IF99" s="58"/>
      <c r="IG99" s="58"/>
      <c r="IH99" s="58"/>
      <c r="II99" s="58"/>
      <c r="IJ99" s="58"/>
      <c r="IK99" s="58"/>
      <c r="IL99" s="58"/>
      <c r="IM99" s="58"/>
      <c r="IN99" s="58"/>
      <c r="IO99" s="58"/>
      <c r="IP99" s="58"/>
      <c r="IQ99" s="58"/>
      <c r="IR99" s="58"/>
      <c r="IS99" s="58"/>
      <c r="IT99" s="58"/>
      <c r="IU99" s="58"/>
      <c r="IV99" s="58"/>
      <c r="IW99" s="58"/>
      <c r="IX99" s="58"/>
      <c r="IY99" s="58"/>
      <c r="IZ99" s="58"/>
      <c r="JA99" s="58"/>
      <c r="JB99" s="58"/>
      <c r="JC99" s="58"/>
      <c r="JD99" s="58"/>
      <c r="JE99" s="58"/>
      <c r="JF99" s="58"/>
      <c r="JG99" s="58"/>
      <c r="JH99" s="58"/>
      <c r="JI99" s="58"/>
      <c r="JJ99" s="58"/>
      <c r="JK99" s="58"/>
      <c r="JL99" s="58"/>
      <c r="JM99" s="58"/>
      <c r="JN99" s="58"/>
      <c r="JO99" s="58"/>
      <c r="JP99" s="58"/>
      <c r="JQ99" s="58"/>
      <c r="JR99" s="58"/>
      <c r="JS99" s="58"/>
      <c r="JT99" s="58"/>
      <c r="JU99" s="58"/>
      <c r="JV99" s="58"/>
      <c r="JW99" s="58"/>
      <c r="JX99" s="58"/>
      <c r="JY99" s="58"/>
      <c r="JZ99" s="58"/>
      <c r="KA99" s="58"/>
      <c r="KB99" s="58"/>
      <c r="KC99" s="58"/>
      <c r="KD99" s="58"/>
      <c r="KE99" s="58"/>
      <c r="KF99" s="58"/>
      <c r="KG99" s="58"/>
      <c r="KH99" s="58"/>
      <c r="KI99" s="58"/>
      <c r="KJ99" s="58"/>
      <c r="KK99" s="58"/>
      <c r="KL99" s="58"/>
      <c r="KM99" s="58"/>
      <c r="KN99" s="58"/>
      <c r="KO99" s="58"/>
    </row>
    <row r="100" spans="1:301" s="30" customFormat="1" hidden="1" x14ac:dyDescent="0.3">
      <c r="A100" s="141"/>
      <c r="B100" s="141"/>
      <c r="C100" s="141"/>
      <c r="E100" s="58"/>
      <c r="F100" s="58"/>
      <c r="G100" s="58"/>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c r="BA100" s="58"/>
      <c r="BB100" s="58"/>
      <c r="BC100" s="58"/>
      <c r="BD100" s="58"/>
      <c r="BE100" s="58"/>
      <c r="BF100" s="58"/>
      <c r="BG100" s="58"/>
      <c r="BH100" s="58"/>
      <c r="BI100" s="58"/>
      <c r="BJ100" s="58"/>
      <c r="BK100" s="58"/>
      <c r="BL100" s="58"/>
      <c r="BM100" s="58"/>
      <c r="BN100" s="58"/>
      <c r="BO100" s="58"/>
      <c r="BP100" s="58"/>
      <c r="BQ100" s="58"/>
      <c r="BR100" s="58"/>
      <c r="BS100" s="58"/>
      <c r="BT100" s="58"/>
      <c r="BU100" s="58"/>
      <c r="BV100" s="58"/>
      <c r="BW100" s="58"/>
      <c r="BX100" s="58"/>
      <c r="BY100" s="58"/>
      <c r="BZ100" s="58"/>
      <c r="CA100" s="58"/>
      <c r="CB100" s="58"/>
      <c r="CC100" s="58"/>
      <c r="CD100" s="58"/>
      <c r="CE100" s="58"/>
      <c r="CF100" s="58"/>
      <c r="CG100" s="58"/>
      <c r="CH100" s="58"/>
      <c r="CI100" s="58"/>
      <c r="CJ100" s="58"/>
      <c r="CK100" s="58"/>
      <c r="CL100" s="58"/>
      <c r="CM100" s="58"/>
      <c r="CN100" s="58"/>
      <c r="CO100" s="58"/>
      <c r="CP100" s="58"/>
      <c r="CQ100" s="58"/>
      <c r="CR100" s="58"/>
      <c r="CS100" s="58"/>
      <c r="CT100" s="58"/>
      <c r="CU100" s="58"/>
      <c r="CV100" s="58"/>
      <c r="CW100" s="58"/>
      <c r="CX100" s="58"/>
      <c r="CY100" s="58"/>
      <c r="CZ100" s="58"/>
      <c r="DA100" s="58"/>
      <c r="DB100" s="58"/>
      <c r="DC100" s="58"/>
      <c r="DD100" s="58"/>
      <c r="DE100" s="58"/>
      <c r="DF100" s="58"/>
      <c r="DG100" s="58"/>
      <c r="DH100" s="58"/>
      <c r="DI100" s="58"/>
      <c r="DJ100" s="58"/>
      <c r="DK100" s="58"/>
      <c r="DL100" s="58"/>
      <c r="DM100" s="58"/>
      <c r="DN100" s="58"/>
      <c r="DO100" s="58"/>
      <c r="DP100" s="58"/>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58"/>
      <c r="EM100" s="58"/>
      <c r="EN100" s="58"/>
      <c r="EO100" s="58"/>
      <c r="EP100" s="58"/>
      <c r="EQ100" s="58"/>
      <c r="ER100" s="58"/>
      <c r="ES100" s="58"/>
      <c r="ET100" s="58"/>
      <c r="EU100" s="58"/>
      <c r="EV100" s="58"/>
      <c r="EW100" s="58"/>
      <c r="EX100" s="58"/>
      <c r="EY100" s="58"/>
      <c r="EZ100" s="58"/>
      <c r="FA100" s="58"/>
      <c r="FB100" s="58"/>
      <c r="FC100" s="58"/>
      <c r="FD100" s="58"/>
      <c r="FE100" s="58"/>
      <c r="FF100" s="58"/>
      <c r="FG100" s="58"/>
      <c r="FH100" s="58"/>
      <c r="FI100" s="58"/>
      <c r="FJ100" s="58"/>
      <c r="FK100" s="58"/>
      <c r="FL100" s="58"/>
      <c r="FM100" s="58"/>
      <c r="FN100" s="58"/>
      <c r="FO100" s="58"/>
      <c r="FP100" s="58"/>
      <c r="FQ100" s="58"/>
      <c r="FR100" s="58"/>
      <c r="FS100" s="58"/>
      <c r="FT100" s="58"/>
      <c r="FU100" s="58"/>
      <c r="FV100" s="58"/>
      <c r="FW100" s="58"/>
      <c r="FX100" s="58"/>
      <c r="FY100" s="58"/>
      <c r="FZ100" s="58"/>
      <c r="GA100" s="58"/>
      <c r="GB100" s="58"/>
      <c r="GC100" s="58"/>
      <c r="GD100" s="58"/>
      <c r="GE100" s="58"/>
      <c r="GF100" s="58"/>
      <c r="GG100" s="58"/>
      <c r="GH100" s="58"/>
      <c r="GI100" s="58"/>
      <c r="GJ100" s="58"/>
      <c r="GK100" s="58"/>
      <c r="GL100" s="58"/>
      <c r="GM100" s="58"/>
      <c r="GN100" s="58"/>
      <c r="GO100" s="58"/>
      <c r="GP100" s="58"/>
      <c r="GQ100" s="58"/>
      <c r="GR100" s="58"/>
      <c r="GS100" s="58"/>
      <c r="GT100" s="58"/>
      <c r="GU100" s="58"/>
      <c r="GV100" s="58"/>
      <c r="GW100" s="58"/>
      <c r="GX100" s="58"/>
      <c r="GY100" s="58"/>
      <c r="GZ100" s="58"/>
      <c r="HA100" s="58"/>
      <c r="HB100" s="58"/>
      <c r="HC100" s="58"/>
      <c r="HD100" s="58"/>
      <c r="HE100" s="58"/>
      <c r="HF100" s="58"/>
      <c r="HG100" s="58"/>
      <c r="HH100" s="58"/>
      <c r="HI100" s="58"/>
      <c r="HJ100" s="58"/>
      <c r="HK100" s="58"/>
      <c r="HL100" s="58"/>
      <c r="HM100" s="58"/>
      <c r="HN100" s="58"/>
      <c r="HO100" s="58"/>
      <c r="HP100" s="58"/>
      <c r="HQ100" s="58"/>
      <c r="HR100" s="58"/>
      <c r="HS100" s="58"/>
      <c r="HT100" s="58"/>
      <c r="HU100" s="58"/>
      <c r="HV100" s="58"/>
      <c r="HW100" s="58"/>
      <c r="HX100" s="58"/>
      <c r="HY100" s="58"/>
      <c r="HZ100" s="58"/>
      <c r="IA100" s="58"/>
      <c r="IB100" s="58"/>
      <c r="IC100" s="58"/>
      <c r="ID100" s="58"/>
      <c r="IE100" s="58"/>
      <c r="IF100" s="58"/>
      <c r="IG100" s="58"/>
      <c r="IH100" s="58"/>
      <c r="II100" s="58"/>
      <c r="IJ100" s="58"/>
      <c r="IK100" s="58"/>
      <c r="IL100" s="58"/>
      <c r="IM100" s="58"/>
      <c r="IN100" s="58"/>
      <c r="IO100" s="58"/>
      <c r="IP100" s="58"/>
      <c r="IQ100" s="58"/>
      <c r="IR100" s="58"/>
      <c r="IS100" s="58"/>
      <c r="IT100" s="58"/>
      <c r="IU100" s="58"/>
      <c r="IV100" s="58"/>
      <c r="IW100" s="58"/>
      <c r="IX100" s="58"/>
      <c r="IY100" s="58"/>
      <c r="IZ100" s="58"/>
      <c r="JA100" s="58"/>
      <c r="JB100" s="58"/>
      <c r="JC100" s="58"/>
      <c r="JD100" s="58"/>
      <c r="JE100" s="58"/>
      <c r="JF100" s="58"/>
      <c r="JG100" s="58"/>
      <c r="JH100" s="58"/>
      <c r="JI100" s="58"/>
      <c r="JJ100" s="58"/>
      <c r="JK100" s="58"/>
      <c r="JL100" s="58"/>
      <c r="JM100" s="58"/>
      <c r="JN100" s="58"/>
      <c r="JO100" s="58"/>
      <c r="JP100" s="58"/>
      <c r="JQ100" s="58"/>
      <c r="JR100" s="58"/>
      <c r="JS100" s="58"/>
      <c r="JT100" s="58"/>
      <c r="JU100" s="58"/>
      <c r="JV100" s="58"/>
      <c r="JW100" s="58"/>
      <c r="JX100" s="58"/>
      <c r="JY100" s="58"/>
      <c r="JZ100" s="58"/>
      <c r="KA100" s="58"/>
      <c r="KB100" s="58"/>
      <c r="KC100" s="58"/>
      <c r="KD100" s="58"/>
      <c r="KE100" s="58"/>
      <c r="KF100" s="58"/>
      <c r="KG100" s="58"/>
      <c r="KH100" s="58"/>
      <c r="KI100" s="58"/>
      <c r="KJ100" s="58"/>
      <c r="KK100" s="58"/>
      <c r="KL100" s="58"/>
      <c r="KM100" s="58"/>
      <c r="KN100" s="58"/>
      <c r="KO100" s="58"/>
    </row>
    <row r="101" spans="1:301" s="30" customFormat="1" hidden="1" x14ac:dyDescent="0.3">
      <c r="A101" s="141"/>
      <c r="B101" s="141"/>
      <c r="C101" s="141"/>
      <c r="E101" s="58"/>
      <c r="F101" s="58"/>
      <c r="G101" s="58"/>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c r="BA101" s="58"/>
      <c r="BB101" s="58"/>
      <c r="BC101" s="58"/>
      <c r="BD101" s="58"/>
      <c r="BE101" s="58"/>
      <c r="BF101" s="58"/>
      <c r="BG101" s="58"/>
      <c r="BH101" s="58"/>
      <c r="BI101" s="58"/>
      <c r="BJ101" s="58"/>
      <c r="BK101" s="58"/>
      <c r="BL101" s="58"/>
      <c r="BM101" s="58"/>
      <c r="BN101" s="58"/>
      <c r="BO101" s="58"/>
      <c r="BP101" s="58"/>
      <c r="BQ101" s="58"/>
      <c r="BR101" s="58"/>
      <c r="BS101" s="58"/>
      <c r="BT101" s="58"/>
      <c r="BU101" s="58"/>
      <c r="BV101" s="58"/>
      <c r="BW101" s="58"/>
      <c r="BX101" s="58"/>
      <c r="BY101" s="58"/>
      <c r="BZ101" s="58"/>
      <c r="CA101" s="58"/>
      <c r="CB101" s="58"/>
      <c r="CC101" s="58"/>
      <c r="CD101" s="58"/>
      <c r="CE101" s="58"/>
      <c r="CF101" s="58"/>
      <c r="CG101" s="58"/>
      <c r="CH101" s="58"/>
      <c r="CI101" s="58"/>
      <c r="CJ101" s="58"/>
      <c r="CK101" s="58"/>
      <c r="CL101" s="58"/>
      <c r="CM101" s="58"/>
      <c r="CN101" s="58"/>
      <c r="CO101" s="58"/>
      <c r="CP101" s="58"/>
      <c r="CQ101" s="58"/>
      <c r="CR101" s="58"/>
      <c r="CS101" s="58"/>
      <c r="CT101" s="58"/>
      <c r="CU101" s="58"/>
      <c r="CV101" s="58"/>
      <c r="CW101" s="58"/>
      <c r="CX101" s="58"/>
      <c r="CY101" s="58"/>
      <c r="CZ101" s="58"/>
      <c r="DA101" s="58"/>
      <c r="DB101" s="58"/>
      <c r="DC101" s="58"/>
      <c r="DD101" s="58"/>
      <c r="DE101" s="58"/>
      <c r="DF101" s="58"/>
      <c r="DG101" s="58"/>
      <c r="DH101" s="58"/>
      <c r="DI101" s="58"/>
      <c r="DJ101" s="58"/>
      <c r="DK101" s="58"/>
      <c r="DL101" s="58"/>
      <c r="DM101" s="58"/>
      <c r="DN101" s="58"/>
      <c r="DO101" s="58"/>
      <c r="DP101" s="58"/>
      <c r="DQ101" s="58"/>
      <c r="DR101" s="58"/>
      <c r="DS101" s="58"/>
      <c r="DT101" s="58"/>
      <c r="DU101" s="58"/>
      <c r="DV101" s="58"/>
      <c r="DW101" s="58"/>
      <c r="DX101" s="58"/>
      <c r="DY101" s="58"/>
      <c r="DZ101" s="58"/>
      <c r="EA101" s="58"/>
      <c r="EB101" s="58"/>
      <c r="EC101" s="58"/>
      <c r="ED101" s="58"/>
      <c r="EE101" s="58"/>
      <c r="EF101" s="58"/>
      <c r="EG101" s="58"/>
      <c r="EH101" s="58"/>
      <c r="EI101" s="58"/>
      <c r="EJ101" s="58"/>
      <c r="EK101" s="58"/>
      <c r="EL101" s="58"/>
      <c r="EM101" s="58"/>
      <c r="EN101" s="58"/>
      <c r="EO101" s="58"/>
      <c r="EP101" s="58"/>
      <c r="EQ101" s="58"/>
      <c r="ER101" s="58"/>
      <c r="ES101" s="58"/>
      <c r="ET101" s="58"/>
      <c r="EU101" s="58"/>
      <c r="EV101" s="58"/>
      <c r="EW101" s="58"/>
      <c r="EX101" s="58"/>
      <c r="EY101" s="58"/>
      <c r="EZ101" s="58"/>
      <c r="FA101" s="58"/>
      <c r="FB101" s="58"/>
      <c r="FC101" s="58"/>
      <c r="FD101" s="58"/>
      <c r="FE101" s="58"/>
      <c r="FF101" s="58"/>
      <c r="FG101" s="58"/>
      <c r="FH101" s="58"/>
      <c r="FI101" s="58"/>
      <c r="FJ101" s="58"/>
      <c r="FK101" s="58"/>
      <c r="FL101" s="58"/>
      <c r="FM101" s="58"/>
      <c r="FN101" s="58"/>
      <c r="FO101" s="58"/>
      <c r="FP101" s="58"/>
      <c r="FQ101" s="58"/>
      <c r="FR101" s="58"/>
      <c r="FS101" s="58"/>
      <c r="FT101" s="58"/>
      <c r="FU101" s="58"/>
      <c r="FV101" s="58"/>
      <c r="FW101" s="58"/>
      <c r="FX101" s="58"/>
      <c r="FY101" s="58"/>
      <c r="FZ101" s="58"/>
      <c r="GA101" s="58"/>
      <c r="GB101" s="58"/>
      <c r="GC101" s="58"/>
      <c r="GD101" s="58"/>
      <c r="GE101" s="58"/>
      <c r="GF101" s="58"/>
      <c r="GG101" s="58"/>
      <c r="GH101" s="58"/>
      <c r="GI101" s="58"/>
      <c r="GJ101" s="58"/>
      <c r="GK101" s="58"/>
      <c r="GL101" s="58"/>
      <c r="GM101" s="58"/>
      <c r="GN101" s="58"/>
      <c r="GO101" s="58"/>
      <c r="GP101" s="58"/>
      <c r="GQ101" s="58"/>
      <c r="GR101" s="58"/>
      <c r="GS101" s="58"/>
      <c r="GT101" s="58"/>
      <c r="GU101" s="58"/>
      <c r="GV101" s="58"/>
      <c r="GW101" s="58"/>
      <c r="GX101" s="58"/>
      <c r="GY101" s="58"/>
      <c r="GZ101" s="58"/>
      <c r="HA101" s="58"/>
      <c r="HB101" s="58"/>
      <c r="HC101" s="58"/>
      <c r="HD101" s="58"/>
      <c r="HE101" s="58"/>
      <c r="HF101" s="58"/>
      <c r="HG101" s="58"/>
      <c r="HH101" s="58"/>
      <c r="HI101" s="58"/>
      <c r="HJ101" s="58"/>
      <c r="HK101" s="58"/>
      <c r="HL101" s="58"/>
      <c r="HM101" s="58"/>
      <c r="HN101" s="58"/>
      <c r="HO101" s="58"/>
      <c r="HP101" s="58"/>
      <c r="HQ101" s="58"/>
      <c r="HR101" s="58"/>
      <c r="HS101" s="58"/>
      <c r="HT101" s="58"/>
      <c r="HU101" s="58"/>
      <c r="HV101" s="58"/>
      <c r="HW101" s="58"/>
      <c r="HX101" s="58"/>
      <c r="HY101" s="58"/>
      <c r="HZ101" s="58"/>
      <c r="IA101" s="58"/>
      <c r="IB101" s="58"/>
      <c r="IC101" s="58"/>
      <c r="ID101" s="58"/>
      <c r="IE101" s="58"/>
      <c r="IF101" s="58"/>
      <c r="IG101" s="58"/>
      <c r="IH101" s="58"/>
      <c r="II101" s="58"/>
      <c r="IJ101" s="58"/>
      <c r="IK101" s="58"/>
      <c r="IL101" s="58"/>
      <c r="IM101" s="58"/>
      <c r="IN101" s="58"/>
      <c r="IO101" s="58"/>
      <c r="IP101" s="58"/>
      <c r="IQ101" s="58"/>
      <c r="IR101" s="58"/>
      <c r="IS101" s="58"/>
      <c r="IT101" s="58"/>
      <c r="IU101" s="58"/>
      <c r="IV101" s="58"/>
      <c r="IW101" s="58"/>
      <c r="IX101" s="58"/>
      <c r="IY101" s="58"/>
      <c r="IZ101" s="58"/>
      <c r="JA101" s="58"/>
      <c r="JB101" s="58"/>
      <c r="JC101" s="58"/>
      <c r="JD101" s="58"/>
      <c r="JE101" s="58"/>
      <c r="JF101" s="58"/>
      <c r="JG101" s="58"/>
      <c r="JH101" s="58"/>
      <c r="JI101" s="58"/>
      <c r="JJ101" s="58"/>
      <c r="JK101" s="58"/>
      <c r="JL101" s="58"/>
      <c r="JM101" s="58"/>
      <c r="JN101" s="58"/>
      <c r="JO101" s="58"/>
      <c r="JP101" s="58"/>
      <c r="JQ101" s="58"/>
      <c r="JR101" s="58"/>
      <c r="JS101" s="58"/>
      <c r="JT101" s="58"/>
      <c r="JU101" s="58"/>
      <c r="JV101" s="58"/>
      <c r="JW101" s="58"/>
      <c r="JX101" s="58"/>
      <c r="JY101" s="58"/>
      <c r="JZ101" s="58"/>
      <c r="KA101" s="58"/>
    </row>
    <row r="102" spans="1:301" s="30" customFormat="1" hidden="1" x14ac:dyDescent="0.3">
      <c r="A102" s="141"/>
      <c r="B102" s="141"/>
      <c r="C102" s="141"/>
      <c r="E102" s="58"/>
      <c r="F102" s="58"/>
      <c r="G102" s="58"/>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c r="BA102" s="58"/>
      <c r="BB102" s="58"/>
      <c r="BC102" s="58"/>
      <c r="BD102" s="58"/>
      <c r="BE102" s="58"/>
      <c r="BF102" s="58"/>
      <c r="BG102" s="58"/>
      <c r="BH102" s="58"/>
      <c r="BI102" s="58"/>
      <c r="BJ102" s="58"/>
      <c r="BK102" s="58"/>
      <c r="BL102" s="58"/>
      <c r="BM102" s="58"/>
      <c r="BN102" s="58"/>
      <c r="BO102" s="58"/>
      <c r="BP102" s="58"/>
      <c r="BQ102" s="58"/>
      <c r="BR102" s="58"/>
      <c r="BS102" s="58"/>
      <c r="BT102" s="58"/>
      <c r="BU102" s="58"/>
      <c r="BV102" s="58"/>
      <c r="BW102" s="58"/>
      <c r="BX102" s="58"/>
      <c r="BY102" s="58"/>
      <c r="BZ102" s="58"/>
      <c r="CA102" s="58"/>
      <c r="CB102" s="58"/>
      <c r="CC102" s="58"/>
      <c r="CD102" s="58"/>
      <c r="CE102" s="58"/>
      <c r="CF102" s="58"/>
      <c r="CG102" s="58"/>
      <c r="CH102" s="58"/>
      <c r="CI102" s="58"/>
      <c r="CJ102" s="58"/>
      <c r="CK102" s="58"/>
      <c r="CL102" s="58"/>
      <c r="CM102" s="58"/>
      <c r="CN102" s="58"/>
      <c r="CO102" s="58"/>
      <c r="CP102" s="58"/>
      <c r="CQ102" s="58"/>
      <c r="CR102" s="58"/>
      <c r="CS102" s="58"/>
      <c r="CT102" s="58"/>
      <c r="CU102" s="58"/>
      <c r="CV102" s="58"/>
      <c r="CW102" s="58"/>
      <c r="CX102" s="58"/>
      <c r="CY102" s="58"/>
      <c r="CZ102" s="58"/>
      <c r="DA102" s="58"/>
      <c r="DB102" s="58"/>
      <c r="DC102" s="58"/>
      <c r="DD102" s="58"/>
      <c r="DE102" s="58"/>
      <c r="DF102" s="58"/>
      <c r="DG102" s="58"/>
      <c r="DH102" s="58"/>
      <c r="DI102" s="58"/>
      <c r="DJ102" s="58"/>
      <c r="DK102" s="58"/>
      <c r="DL102" s="58"/>
      <c r="DM102" s="58"/>
      <c r="DN102" s="58"/>
      <c r="DO102" s="58"/>
      <c r="DP102" s="58"/>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58"/>
      <c r="EM102" s="58"/>
      <c r="EN102" s="58"/>
      <c r="EO102" s="58"/>
      <c r="EP102" s="58"/>
      <c r="EQ102" s="58"/>
      <c r="ER102" s="58"/>
      <c r="ES102" s="58"/>
      <c r="ET102" s="58"/>
      <c r="EU102" s="58"/>
      <c r="EV102" s="58"/>
      <c r="EW102" s="58"/>
      <c r="EX102" s="58"/>
      <c r="EY102" s="58"/>
      <c r="EZ102" s="58"/>
      <c r="FA102" s="58"/>
      <c r="FB102" s="58"/>
      <c r="FC102" s="58"/>
      <c r="FD102" s="58"/>
      <c r="FE102" s="58"/>
      <c r="FF102" s="58"/>
      <c r="FG102" s="58"/>
      <c r="FH102" s="58"/>
      <c r="FI102" s="58"/>
      <c r="FJ102" s="58"/>
      <c r="FK102" s="58"/>
      <c r="FL102" s="58"/>
      <c r="FM102" s="58"/>
      <c r="FN102" s="58"/>
      <c r="FO102" s="58"/>
      <c r="FP102" s="58"/>
      <c r="FQ102" s="58"/>
      <c r="FR102" s="58"/>
      <c r="FS102" s="58"/>
      <c r="FT102" s="58"/>
      <c r="FU102" s="58"/>
      <c r="FV102" s="58"/>
      <c r="FW102" s="58"/>
      <c r="FX102" s="58"/>
      <c r="FY102" s="58"/>
      <c r="FZ102" s="58"/>
      <c r="GA102" s="58"/>
      <c r="GB102" s="58"/>
      <c r="GC102" s="58"/>
      <c r="GD102" s="58"/>
      <c r="GE102" s="58"/>
      <c r="GF102" s="58"/>
      <c r="GG102" s="58"/>
      <c r="GH102" s="58"/>
      <c r="GI102" s="58"/>
      <c r="GJ102" s="58"/>
      <c r="GK102" s="58"/>
      <c r="GL102" s="58"/>
      <c r="GM102" s="58"/>
      <c r="GN102" s="58"/>
      <c r="GO102" s="58"/>
      <c r="GP102" s="58"/>
      <c r="GQ102" s="58"/>
      <c r="GR102" s="58"/>
      <c r="GS102" s="58"/>
      <c r="GT102" s="58"/>
      <c r="GU102" s="58"/>
      <c r="GV102" s="58"/>
      <c r="GW102" s="58"/>
      <c r="GX102" s="58"/>
      <c r="GY102" s="58"/>
      <c r="GZ102" s="58"/>
      <c r="HA102" s="58"/>
      <c r="HB102" s="58"/>
      <c r="HC102" s="58"/>
      <c r="HD102" s="58"/>
      <c r="HE102" s="58"/>
      <c r="HF102" s="58"/>
      <c r="HG102" s="58"/>
      <c r="HH102" s="58"/>
      <c r="HI102" s="58"/>
      <c r="HJ102" s="58"/>
      <c r="HK102" s="58"/>
      <c r="HL102" s="58"/>
      <c r="HM102" s="58"/>
      <c r="HN102" s="58"/>
      <c r="HO102" s="58"/>
      <c r="HP102" s="58"/>
      <c r="HQ102" s="58"/>
      <c r="HR102" s="58"/>
      <c r="HS102" s="58"/>
      <c r="HT102" s="58"/>
      <c r="HU102" s="58"/>
      <c r="HV102" s="58"/>
      <c r="HW102" s="58"/>
      <c r="HX102" s="58"/>
      <c r="HY102" s="58"/>
      <c r="HZ102" s="58"/>
      <c r="IA102" s="58"/>
      <c r="IB102" s="58"/>
      <c r="IC102" s="58"/>
      <c r="ID102" s="58"/>
      <c r="IE102" s="58"/>
      <c r="IF102" s="58"/>
      <c r="IG102" s="58"/>
      <c r="IH102" s="58"/>
      <c r="II102" s="58"/>
      <c r="IJ102" s="58"/>
      <c r="IK102" s="58"/>
      <c r="IL102" s="58"/>
      <c r="IM102" s="58"/>
      <c r="IN102" s="58"/>
      <c r="IO102" s="58"/>
      <c r="IP102" s="58"/>
      <c r="IQ102" s="58"/>
      <c r="IR102" s="58"/>
      <c r="IS102" s="58"/>
      <c r="IT102" s="58"/>
      <c r="IU102" s="58"/>
      <c r="IV102" s="58"/>
      <c r="IW102" s="58"/>
      <c r="IX102" s="58"/>
      <c r="IY102" s="58"/>
      <c r="IZ102" s="58"/>
      <c r="JA102" s="58"/>
      <c r="JB102" s="58"/>
      <c r="JC102" s="58"/>
      <c r="JD102" s="58"/>
      <c r="JE102" s="58"/>
      <c r="JF102" s="58"/>
      <c r="JG102" s="58"/>
      <c r="JH102" s="58"/>
      <c r="JI102" s="58"/>
      <c r="JJ102" s="58"/>
      <c r="JK102" s="58"/>
      <c r="JL102" s="58"/>
      <c r="JM102" s="58"/>
      <c r="JN102" s="58"/>
      <c r="JO102" s="58"/>
      <c r="JP102" s="58"/>
      <c r="JQ102" s="58"/>
      <c r="JR102" s="58"/>
      <c r="JS102" s="58"/>
      <c r="JT102" s="58"/>
      <c r="JU102" s="58"/>
      <c r="JV102" s="58"/>
      <c r="JW102" s="58"/>
      <c r="JX102" s="58"/>
      <c r="JY102" s="58"/>
      <c r="JZ102" s="58"/>
      <c r="KA102" s="58"/>
      <c r="KB102" s="58"/>
      <c r="KC102" s="58"/>
      <c r="KD102" s="58"/>
      <c r="KE102" s="58"/>
      <c r="KF102" s="58"/>
      <c r="KG102" s="58"/>
      <c r="KH102" s="58"/>
    </row>
    <row r="103" spans="1:301" s="30" customFormat="1" hidden="1" x14ac:dyDescent="0.3">
      <c r="A103" s="141"/>
      <c r="B103" s="141"/>
      <c r="C103" s="141"/>
      <c r="E103" s="58"/>
      <c r="F103" s="58"/>
      <c r="G103" s="58"/>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c r="BA103" s="58"/>
      <c r="BB103" s="58"/>
      <c r="BC103" s="58"/>
      <c r="BD103" s="58"/>
      <c r="BE103" s="58"/>
      <c r="BF103" s="58"/>
      <c r="BG103" s="58"/>
      <c r="BH103" s="58"/>
      <c r="BI103" s="58"/>
      <c r="BJ103" s="58"/>
      <c r="BK103" s="58"/>
      <c r="BL103" s="58"/>
      <c r="BM103" s="58"/>
      <c r="BN103" s="58"/>
      <c r="BO103" s="58"/>
      <c r="BP103" s="58"/>
      <c r="BQ103" s="58"/>
      <c r="BR103" s="58"/>
      <c r="BS103" s="58"/>
      <c r="BT103" s="58"/>
      <c r="BU103" s="58"/>
      <c r="BV103" s="58"/>
      <c r="BW103" s="58"/>
      <c r="BX103" s="58"/>
      <c r="BY103" s="58"/>
      <c r="BZ103" s="58"/>
      <c r="CA103" s="58"/>
      <c r="CB103" s="58"/>
      <c r="CC103" s="58"/>
      <c r="CD103" s="58"/>
      <c r="CE103" s="58"/>
      <c r="CF103" s="58"/>
      <c r="CG103" s="58"/>
      <c r="CH103" s="58"/>
      <c r="CI103" s="58"/>
      <c r="CJ103" s="58"/>
      <c r="CK103" s="58"/>
      <c r="CL103" s="58"/>
      <c r="CM103" s="58"/>
      <c r="CN103" s="58"/>
      <c r="CO103" s="58"/>
      <c r="CP103" s="58"/>
      <c r="CQ103" s="58"/>
      <c r="CR103" s="58"/>
      <c r="CS103" s="58"/>
      <c r="CT103" s="58"/>
      <c r="CU103" s="58"/>
      <c r="CV103" s="58"/>
      <c r="CW103" s="58"/>
      <c r="CX103" s="58"/>
      <c r="CY103" s="58"/>
      <c r="CZ103" s="58"/>
      <c r="DA103" s="58"/>
      <c r="DB103" s="58"/>
      <c r="DC103" s="58"/>
      <c r="DD103" s="58"/>
      <c r="DE103" s="58"/>
      <c r="DF103" s="58"/>
      <c r="DG103" s="58"/>
      <c r="DH103" s="58"/>
      <c r="DI103" s="58"/>
      <c r="DJ103" s="58"/>
      <c r="DK103" s="58"/>
      <c r="DL103" s="58"/>
      <c r="DM103" s="58"/>
      <c r="DN103" s="58"/>
      <c r="DO103" s="58"/>
      <c r="DP103" s="58"/>
      <c r="DQ103" s="58"/>
      <c r="DR103" s="58"/>
      <c r="DS103" s="58"/>
      <c r="DT103" s="58"/>
      <c r="DU103" s="58"/>
      <c r="DV103" s="58"/>
      <c r="DW103" s="58"/>
      <c r="DX103" s="58"/>
      <c r="DY103" s="58"/>
      <c r="DZ103" s="58"/>
      <c r="EA103" s="58"/>
      <c r="EB103" s="58"/>
      <c r="EC103" s="58"/>
      <c r="ED103" s="58"/>
      <c r="EE103" s="58"/>
      <c r="EF103" s="58"/>
      <c r="EG103" s="58"/>
      <c r="EH103" s="58"/>
      <c r="EI103" s="58"/>
      <c r="EJ103" s="58"/>
      <c r="EK103" s="58"/>
      <c r="EL103" s="58"/>
      <c r="EM103" s="58"/>
      <c r="EN103" s="58"/>
      <c r="EO103" s="58"/>
      <c r="EP103" s="58"/>
      <c r="EQ103" s="58"/>
      <c r="ER103" s="58"/>
      <c r="ES103" s="58"/>
      <c r="ET103" s="58"/>
      <c r="EU103" s="58"/>
      <c r="EV103" s="58"/>
      <c r="EW103" s="58"/>
      <c r="EX103" s="58"/>
      <c r="EY103" s="58"/>
      <c r="EZ103" s="58"/>
      <c r="FA103" s="58"/>
      <c r="FB103" s="58"/>
      <c r="FC103" s="58"/>
      <c r="FD103" s="58"/>
      <c r="FE103" s="58"/>
      <c r="FF103" s="58"/>
      <c r="FG103" s="58"/>
      <c r="FH103" s="58"/>
      <c r="FI103" s="58"/>
      <c r="FJ103" s="58"/>
      <c r="FK103" s="58"/>
      <c r="FL103" s="58"/>
      <c r="FM103" s="58"/>
      <c r="FN103" s="58"/>
      <c r="FO103" s="58"/>
      <c r="FP103" s="58"/>
      <c r="FQ103" s="58"/>
      <c r="FR103" s="58"/>
      <c r="FS103" s="58"/>
      <c r="FT103" s="58"/>
      <c r="FU103" s="58"/>
      <c r="FV103" s="58"/>
      <c r="FW103" s="58"/>
      <c r="FX103" s="58"/>
      <c r="FY103" s="58"/>
      <c r="FZ103" s="58"/>
      <c r="GA103" s="58"/>
      <c r="GB103" s="58"/>
      <c r="GC103" s="58"/>
      <c r="GD103" s="58"/>
      <c r="GE103" s="58"/>
      <c r="GF103" s="58"/>
      <c r="GG103" s="58"/>
      <c r="GH103" s="58"/>
      <c r="GI103" s="58"/>
      <c r="GJ103" s="58"/>
      <c r="GK103" s="58"/>
      <c r="GL103" s="58"/>
      <c r="GM103" s="58"/>
      <c r="GN103" s="58"/>
      <c r="GO103" s="58"/>
      <c r="GP103" s="58"/>
      <c r="GQ103" s="58"/>
      <c r="GR103" s="58"/>
      <c r="GS103" s="58"/>
      <c r="GT103" s="58"/>
      <c r="GU103" s="58"/>
      <c r="GV103" s="58"/>
      <c r="GW103" s="58"/>
      <c r="GX103" s="58"/>
      <c r="GY103" s="58"/>
      <c r="GZ103" s="58"/>
      <c r="HA103" s="58"/>
      <c r="HB103" s="58"/>
      <c r="HC103" s="58"/>
      <c r="HD103" s="58"/>
      <c r="HE103" s="58"/>
      <c r="HF103" s="58"/>
      <c r="HG103" s="58"/>
      <c r="HH103" s="58"/>
      <c r="HI103" s="58"/>
      <c r="HJ103" s="58"/>
      <c r="HK103" s="58"/>
      <c r="HL103" s="58"/>
      <c r="HM103" s="58"/>
      <c r="HN103" s="58"/>
      <c r="HO103" s="58"/>
      <c r="HP103" s="58"/>
      <c r="HQ103" s="58"/>
      <c r="HR103" s="58"/>
      <c r="HS103" s="58"/>
      <c r="HT103" s="58"/>
      <c r="HU103" s="58"/>
      <c r="HV103" s="58"/>
      <c r="HW103" s="58"/>
      <c r="HX103" s="58"/>
      <c r="HY103" s="58"/>
      <c r="HZ103" s="58"/>
      <c r="IA103" s="58"/>
      <c r="IB103" s="58"/>
      <c r="IC103" s="58"/>
      <c r="ID103" s="58"/>
      <c r="IE103" s="58"/>
      <c r="IF103" s="58"/>
      <c r="IG103" s="58"/>
      <c r="IH103" s="58"/>
      <c r="II103" s="58"/>
      <c r="IJ103" s="58"/>
      <c r="IK103" s="58"/>
      <c r="IL103" s="58"/>
      <c r="IM103" s="58"/>
      <c r="IN103" s="58"/>
      <c r="IO103" s="58"/>
      <c r="IP103" s="58"/>
      <c r="IQ103" s="58"/>
      <c r="IR103" s="58"/>
      <c r="IS103" s="58"/>
      <c r="IT103" s="58"/>
      <c r="IU103" s="58"/>
      <c r="IV103" s="58"/>
      <c r="IW103" s="58"/>
      <c r="IX103" s="58"/>
      <c r="IY103" s="58"/>
      <c r="IZ103" s="58"/>
      <c r="JA103" s="58"/>
      <c r="JB103" s="58"/>
      <c r="JC103" s="58"/>
      <c r="JD103" s="58"/>
      <c r="JE103" s="58"/>
      <c r="JF103" s="58"/>
      <c r="JG103" s="58"/>
      <c r="JH103" s="58"/>
      <c r="JI103" s="58"/>
      <c r="JJ103" s="58"/>
      <c r="JK103" s="58"/>
      <c r="JL103" s="58"/>
      <c r="JM103" s="58"/>
      <c r="JN103" s="58"/>
      <c r="JO103" s="58"/>
      <c r="JP103" s="58"/>
      <c r="JQ103" s="58"/>
      <c r="JR103" s="58"/>
      <c r="JS103" s="58"/>
      <c r="JT103" s="58"/>
      <c r="JU103" s="58"/>
      <c r="JV103" s="58"/>
      <c r="JW103" s="58"/>
      <c r="JX103" s="58"/>
      <c r="JY103" s="58"/>
      <c r="JZ103" s="58"/>
      <c r="KA103" s="58"/>
      <c r="KB103" s="58"/>
      <c r="KC103" s="58"/>
      <c r="KD103" s="58"/>
      <c r="KE103" s="58"/>
      <c r="KF103" s="58"/>
      <c r="KG103" s="58"/>
      <c r="KH103" s="58"/>
    </row>
    <row r="104" spans="1:301" s="30" customFormat="1" hidden="1" x14ac:dyDescent="0.3">
      <c r="A104" s="141"/>
      <c r="B104" s="141"/>
      <c r="C104" s="141"/>
      <c r="E104" s="58"/>
      <c r="F104" s="58"/>
      <c r="G104" s="58"/>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FC104" s="58"/>
      <c r="FD104" s="58"/>
      <c r="FE104" s="58"/>
      <c r="FF104" s="58"/>
      <c r="FG104" s="58"/>
      <c r="FH104" s="58"/>
      <c r="FI104" s="58"/>
      <c r="FJ104" s="58"/>
      <c r="FK104" s="58"/>
      <c r="FL104" s="58"/>
      <c r="FM104" s="58"/>
      <c r="FN104" s="58"/>
      <c r="FO104" s="58"/>
      <c r="FP104" s="58"/>
      <c r="FQ104" s="58"/>
      <c r="FR104" s="58"/>
      <c r="FS104" s="58"/>
      <c r="FT104" s="58"/>
      <c r="FU104" s="58"/>
      <c r="FV104" s="58"/>
      <c r="FW104" s="58"/>
      <c r="FX104" s="58"/>
      <c r="FY104" s="58"/>
      <c r="FZ104" s="58"/>
      <c r="GA104" s="58"/>
      <c r="GB104" s="58"/>
      <c r="GC104" s="58"/>
      <c r="GD104" s="58"/>
      <c r="GE104" s="58"/>
      <c r="GF104" s="58"/>
      <c r="GG104" s="58"/>
      <c r="GH104" s="58"/>
      <c r="GI104" s="58"/>
      <c r="GJ104" s="58"/>
      <c r="GK104" s="58"/>
      <c r="GL104" s="58"/>
      <c r="GM104" s="58"/>
      <c r="GN104" s="58"/>
      <c r="GO104" s="58"/>
      <c r="GP104" s="58"/>
      <c r="GQ104" s="58"/>
      <c r="GR104" s="58"/>
      <c r="GS104" s="58"/>
      <c r="GT104" s="58"/>
      <c r="GU104" s="58"/>
      <c r="GV104" s="58"/>
      <c r="GW104" s="58"/>
      <c r="GX104" s="58"/>
      <c r="GY104" s="58"/>
      <c r="GZ104" s="58"/>
      <c r="HA104" s="58"/>
      <c r="HB104" s="58"/>
      <c r="HC104" s="58"/>
      <c r="HD104" s="58"/>
      <c r="HE104" s="58"/>
      <c r="HF104" s="58"/>
      <c r="HG104" s="58"/>
      <c r="HH104" s="58"/>
      <c r="HI104" s="58"/>
      <c r="HJ104" s="58"/>
      <c r="HK104" s="58"/>
      <c r="HL104" s="58"/>
      <c r="HM104" s="58"/>
      <c r="HN104" s="58"/>
      <c r="HO104" s="58"/>
      <c r="HP104" s="58"/>
      <c r="HQ104" s="58"/>
      <c r="HR104" s="58"/>
    </row>
    <row r="105" spans="1:301" s="30" customFormat="1" hidden="1" x14ac:dyDescent="0.3">
      <c r="A105" s="141"/>
      <c r="B105" s="141"/>
      <c r="C105" s="141"/>
      <c r="E105" s="58"/>
      <c r="F105" s="58"/>
      <c r="G105" s="58"/>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CY105" s="58"/>
      <c r="CZ105" s="58"/>
      <c r="DA105" s="58"/>
      <c r="DB105" s="58"/>
      <c r="DC105" s="58"/>
      <c r="DD105" s="58"/>
      <c r="DE105" s="58"/>
      <c r="DF105" s="58"/>
      <c r="DG105" s="58"/>
      <c r="DH105" s="58"/>
      <c r="DI105" s="58"/>
      <c r="DJ105" s="58"/>
      <c r="DK105" s="58"/>
      <c r="DL105" s="58"/>
      <c r="DM105" s="58"/>
      <c r="DN105" s="58"/>
      <c r="DO105" s="58"/>
      <c r="DP105" s="58"/>
      <c r="DQ105" s="58"/>
      <c r="DR105" s="58"/>
      <c r="DS105" s="58"/>
      <c r="DT105" s="58"/>
      <c r="DU105" s="58"/>
      <c r="DV105" s="58"/>
      <c r="DW105" s="58"/>
      <c r="DX105" s="58"/>
      <c r="DY105" s="58"/>
      <c r="DZ105" s="58"/>
      <c r="EA105" s="58"/>
      <c r="EB105" s="58"/>
      <c r="EC105" s="58"/>
      <c r="ED105" s="58"/>
      <c r="EE105" s="58"/>
      <c r="EF105" s="58"/>
      <c r="EG105" s="58"/>
      <c r="EH105" s="58"/>
      <c r="EI105" s="58"/>
      <c r="EJ105" s="58"/>
      <c r="EK105" s="58"/>
      <c r="EL105" s="58"/>
      <c r="EM105" s="58"/>
      <c r="EN105" s="58"/>
      <c r="EO105" s="58"/>
      <c r="EP105" s="58"/>
      <c r="EQ105" s="58"/>
      <c r="ER105" s="58"/>
      <c r="ES105" s="58"/>
      <c r="ET105" s="58"/>
      <c r="EU105" s="58"/>
      <c r="EV105" s="58"/>
      <c r="EW105" s="58"/>
      <c r="EX105" s="58"/>
      <c r="EY105" s="58"/>
      <c r="EZ105" s="58"/>
      <c r="FA105" s="58"/>
      <c r="FB105" s="58"/>
      <c r="FC105" s="58"/>
      <c r="FD105" s="58"/>
      <c r="FE105" s="58"/>
      <c r="FF105" s="58"/>
      <c r="FG105" s="58"/>
      <c r="FH105" s="58"/>
      <c r="FI105" s="58"/>
      <c r="FJ105" s="58"/>
      <c r="FK105" s="58"/>
      <c r="FL105" s="58"/>
      <c r="FM105" s="58"/>
      <c r="FN105" s="58"/>
      <c r="FO105" s="58"/>
      <c r="FP105" s="58"/>
      <c r="FQ105" s="58"/>
      <c r="FR105" s="58"/>
      <c r="FS105" s="58"/>
      <c r="FT105" s="58"/>
      <c r="FU105" s="58"/>
      <c r="FV105" s="58"/>
      <c r="FW105" s="58"/>
      <c r="FX105" s="58"/>
      <c r="FY105" s="58"/>
      <c r="FZ105" s="58"/>
      <c r="GA105" s="58"/>
      <c r="GB105" s="58"/>
      <c r="GC105" s="58"/>
      <c r="GD105" s="58"/>
      <c r="GE105" s="58"/>
      <c r="GF105" s="58"/>
      <c r="GG105" s="58"/>
      <c r="GH105" s="58"/>
      <c r="GI105" s="58"/>
      <c r="GJ105" s="58"/>
      <c r="GK105" s="58"/>
      <c r="GL105" s="58"/>
      <c r="GM105" s="58"/>
      <c r="GN105" s="58"/>
      <c r="GO105" s="58"/>
      <c r="GP105" s="58"/>
      <c r="GQ105" s="58"/>
      <c r="GR105" s="58"/>
      <c r="GS105" s="58"/>
      <c r="GT105" s="58"/>
      <c r="GU105" s="58"/>
      <c r="GV105" s="58"/>
      <c r="GW105" s="58"/>
      <c r="GX105" s="58"/>
      <c r="GY105" s="58"/>
      <c r="GZ105" s="58"/>
      <c r="HA105" s="58"/>
      <c r="HB105" s="58"/>
      <c r="HC105" s="58"/>
      <c r="HD105" s="58"/>
      <c r="HE105" s="58"/>
      <c r="HF105" s="58"/>
      <c r="HG105" s="58"/>
      <c r="HH105" s="58"/>
      <c r="HI105" s="58"/>
      <c r="HJ105" s="58"/>
      <c r="HK105" s="58"/>
      <c r="HL105" s="58"/>
      <c r="HM105" s="58"/>
      <c r="HN105" s="58"/>
      <c r="HO105" s="58"/>
      <c r="HP105" s="58"/>
      <c r="HQ105" s="58"/>
      <c r="HR105" s="58"/>
    </row>
    <row r="106" spans="1:301" s="30" customFormat="1" hidden="1" x14ac:dyDescent="0.3">
      <c r="A106" s="141"/>
      <c r="B106" s="141"/>
      <c r="C106" s="141"/>
      <c r="E106" s="58"/>
      <c r="F106" s="58"/>
      <c r="G106" s="58"/>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BW106" s="56"/>
      <c r="BX106" s="56"/>
      <c r="BY106" s="56"/>
      <c r="BZ106" s="56"/>
      <c r="CA106" s="56"/>
      <c r="CB106" s="56"/>
      <c r="CC106" s="56"/>
      <c r="CD106" s="56"/>
      <c r="CE106" s="56"/>
      <c r="CF106" s="56"/>
      <c r="CG106" s="56"/>
      <c r="CH106" s="56"/>
      <c r="CI106" s="56"/>
      <c r="CJ106" s="56"/>
      <c r="CK106" s="56"/>
      <c r="CL106" s="56"/>
      <c r="CM106" s="56"/>
      <c r="CN106" s="56"/>
      <c r="CO106" s="56"/>
      <c r="CP106" s="56"/>
      <c r="CQ106" s="56"/>
      <c r="CR106" s="56"/>
      <c r="CS106" s="56"/>
      <c r="CT106" s="56"/>
      <c r="CU106" s="56"/>
      <c r="CV106" s="56"/>
      <c r="CW106" s="56"/>
      <c r="CX106" s="56"/>
      <c r="CY106" s="56"/>
      <c r="CZ106" s="56"/>
      <c r="DA106" s="56"/>
      <c r="DB106" s="56"/>
      <c r="DC106" s="56"/>
      <c r="DD106" s="56"/>
      <c r="DE106" s="56"/>
      <c r="DF106" s="56"/>
      <c r="DG106" s="56"/>
      <c r="DH106" s="56"/>
      <c r="DI106" s="56"/>
      <c r="DJ106" s="56"/>
      <c r="DK106" s="56"/>
      <c r="DL106" s="56"/>
      <c r="DM106" s="56"/>
      <c r="DN106" s="56"/>
      <c r="DO106" s="56"/>
      <c r="DP106" s="56"/>
      <c r="DQ106" s="56"/>
      <c r="DR106" s="56"/>
      <c r="DS106" s="56"/>
      <c r="DT106" s="56"/>
      <c r="DU106" s="56"/>
      <c r="DV106" s="56"/>
      <c r="DW106" s="56"/>
      <c r="DX106" s="56"/>
      <c r="DY106" s="56"/>
      <c r="DZ106" s="56"/>
      <c r="EA106" s="56"/>
      <c r="EB106" s="56"/>
      <c r="EC106" s="56"/>
      <c r="ED106" s="56"/>
      <c r="EE106" s="56"/>
      <c r="EF106" s="56"/>
      <c r="EG106" s="56"/>
      <c r="EH106" s="56"/>
      <c r="EI106" s="56"/>
      <c r="EJ106" s="56"/>
      <c r="EK106" s="56"/>
      <c r="EL106" s="56"/>
      <c r="EM106" s="56"/>
      <c r="EN106" s="56"/>
      <c r="EO106" s="56"/>
      <c r="EP106" s="56"/>
      <c r="EQ106" s="56"/>
      <c r="ER106" s="56"/>
      <c r="ES106" s="56"/>
      <c r="ET106" s="56"/>
      <c r="EU106" s="56"/>
      <c r="EV106" s="56"/>
      <c r="EW106" s="56"/>
      <c r="EX106" s="56"/>
      <c r="EY106" s="56"/>
      <c r="EZ106" s="56"/>
      <c r="FA106" s="56"/>
      <c r="FB106" s="56"/>
      <c r="FC106" s="58"/>
      <c r="FD106" s="58"/>
      <c r="FE106" s="58"/>
      <c r="FF106" s="58"/>
      <c r="FG106" s="58"/>
      <c r="FH106" s="58"/>
      <c r="FI106" s="58"/>
      <c r="FJ106" s="58"/>
      <c r="FK106" s="58"/>
      <c r="FL106" s="58"/>
      <c r="FM106" s="58"/>
      <c r="FN106" s="58"/>
      <c r="FO106" s="58"/>
      <c r="FP106" s="58"/>
      <c r="FQ106" s="58"/>
      <c r="FR106" s="58"/>
      <c r="FS106" s="58"/>
      <c r="FT106" s="58"/>
      <c r="FU106" s="58"/>
      <c r="FV106" s="58"/>
      <c r="FW106" s="58"/>
      <c r="FX106" s="58"/>
      <c r="FY106" s="58"/>
      <c r="FZ106" s="58"/>
      <c r="GA106" s="58"/>
      <c r="GB106" s="58"/>
      <c r="GC106" s="58"/>
      <c r="GD106" s="58"/>
      <c r="GE106" s="58"/>
      <c r="GF106" s="58"/>
      <c r="GG106" s="58"/>
      <c r="GH106" s="58"/>
      <c r="GI106" s="58"/>
      <c r="GJ106" s="58"/>
      <c r="GK106" s="58"/>
      <c r="GL106" s="58"/>
      <c r="GM106" s="58"/>
      <c r="GN106" s="58"/>
      <c r="GO106" s="58"/>
      <c r="GP106" s="58"/>
      <c r="GQ106" s="58"/>
      <c r="GR106" s="58"/>
      <c r="GS106" s="58"/>
      <c r="GT106" s="58"/>
      <c r="GU106" s="58"/>
      <c r="GV106" s="58"/>
      <c r="GW106" s="58"/>
      <c r="GX106" s="58"/>
      <c r="GY106" s="58"/>
      <c r="GZ106" s="58"/>
      <c r="HA106" s="58"/>
      <c r="HB106" s="58"/>
      <c r="HC106" s="58"/>
      <c r="HD106" s="58"/>
      <c r="HE106" s="58"/>
      <c r="HF106" s="58"/>
      <c r="HG106" s="58"/>
      <c r="HH106" s="58"/>
      <c r="HI106" s="58"/>
      <c r="HJ106" s="58"/>
      <c r="HK106" s="58"/>
      <c r="HL106" s="58"/>
      <c r="HM106" s="58"/>
      <c r="HN106" s="58"/>
      <c r="HO106" s="58"/>
      <c r="HP106" s="58"/>
      <c r="HQ106" s="58"/>
      <c r="HR106" s="58"/>
    </row>
    <row r="107" spans="1:301" s="30" customFormat="1" hidden="1" x14ac:dyDescent="0.3">
      <c r="A107" s="141"/>
      <c r="B107" s="141"/>
      <c r="C107" s="141"/>
      <c r="E107" s="58"/>
      <c r="F107" s="58"/>
      <c r="G107" s="58"/>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BW107" s="56"/>
      <c r="BX107" s="56"/>
      <c r="BY107" s="56"/>
      <c r="BZ107" s="56"/>
      <c r="CA107" s="56"/>
      <c r="CB107" s="56"/>
      <c r="CC107" s="56"/>
      <c r="CD107" s="56"/>
      <c r="CE107" s="56"/>
      <c r="CF107" s="56"/>
      <c r="CG107" s="56"/>
      <c r="CH107" s="56"/>
      <c r="CI107" s="56"/>
      <c r="CJ107" s="56"/>
      <c r="CK107" s="56"/>
      <c r="CL107" s="56"/>
      <c r="CM107" s="56"/>
      <c r="CN107" s="56"/>
      <c r="CO107" s="56"/>
      <c r="CP107" s="56"/>
      <c r="CQ107" s="56"/>
      <c r="CR107" s="56"/>
      <c r="CS107" s="56"/>
      <c r="CT107" s="56"/>
      <c r="CU107" s="56"/>
      <c r="CV107" s="56"/>
      <c r="CW107" s="56"/>
      <c r="CX107" s="56"/>
      <c r="CY107" s="56"/>
      <c r="CZ107" s="56"/>
      <c r="DA107" s="56"/>
      <c r="DB107" s="56"/>
      <c r="DC107" s="56"/>
      <c r="DD107" s="56"/>
      <c r="DE107" s="56"/>
      <c r="DF107" s="56"/>
      <c r="DG107" s="56"/>
      <c r="DH107" s="56"/>
      <c r="DI107" s="56"/>
      <c r="DJ107" s="56"/>
      <c r="DK107" s="56"/>
      <c r="DL107" s="56"/>
      <c r="DM107" s="56"/>
      <c r="DN107" s="56"/>
      <c r="DO107" s="56"/>
      <c r="DP107" s="56"/>
      <c r="DQ107" s="56"/>
      <c r="DR107" s="56"/>
      <c r="DS107" s="56"/>
      <c r="DT107" s="56"/>
      <c r="DU107" s="56"/>
      <c r="DV107" s="56"/>
      <c r="DW107" s="56"/>
      <c r="DX107" s="56"/>
      <c r="DY107" s="56"/>
      <c r="DZ107" s="56"/>
      <c r="EA107" s="56"/>
      <c r="EB107" s="56"/>
      <c r="EC107" s="56"/>
      <c r="ED107" s="56"/>
      <c r="EE107" s="56"/>
      <c r="EF107" s="56"/>
      <c r="EG107" s="56"/>
      <c r="EH107" s="56"/>
      <c r="EI107" s="56"/>
      <c r="EJ107" s="56"/>
      <c r="EK107" s="56"/>
      <c r="EL107" s="56"/>
      <c r="EM107" s="56"/>
      <c r="EN107" s="56"/>
      <c r="EO107" s="56"/>
      <c r="EP107" s="56"/>
      <c r="EQ107" s="56"/>
      <c r="ER107" s="56"/>
      <c r="ES107" s="56"/>
      <c r="ET107" s="56"/>
      <c r="EU107" s="56"/>
      <c r="EV107" s="56"/>
      <c r="EW107" s="56"/>
      <c r="EX107" s="56"/>
      <c r="EY107" s="56"/>
      <c r="EZ107" s="56"/>
      <c r="FA107" s="56"/>
      <c r="FB107" s="56"/>
      <c r="FC107" s="58"/>
      <c r="FD107" s="58"/>
      <c r="FE107" s="58"/>
      <c r="FF107" s="58"/>
      <c r="FG107" s="58"/>
      <c r="FH107" s="58"/>
      <c r="FI107" s="58"/>
      <c r="FJ107" s="58"/>
      <c r="FK107" s="58"/>
      <c r="FL107" s="58"/>
      <c r="FM107" s="58"/>
      <c r="FN107" s="58"/>
      <c r="FO107" s="58"/>
      <c r="FP107" s="58"/>
      <c r="FQ107" s="58"/>
      <c r="FR107" s="58"/>
      <c r="FS107" s="58"/>
      <c r="FT107" s="58"/>
      <c r="FU107" s="58"/>
      <c r="FV107" s="58"/>
      <c r="FW107" s="58"/>
      <c r="FX107" s="58"/>
      <c r="FY107" s="58"/>
      <c r="FZ107" s="58"/>
      <c r="GA107" s="58"/>
      <c r="GB107" s="58"/>
      <c r="GC107" s="58"/>
      <c r="GD107" s="58"/>
      <c r="GE107" s="58"/>
      <c r="GF107" s="58"/>
      <c r="GG107" s="58"/>
      <c r="GH107" s="58"/>
      <c r="GI107" s="58"/>
      <c r="GJ107" s="58"/>
      <c r="GK107" s="58"/>
      <c r="GL107" s="58"/>
      <c r="GM107" s="58"/>
      <c r="GN107" s="58"/>
      <c r="GO107" s="58"/>
      <c r="GP107" s="58"/>
      <c r="GQ107" s="58"/>
      <c r="GR107" s="58"/>
      <c r="GS107" s="58"/>
      <c r="GT107" s="58"/>
      <c r="GU107" s="58"/>
      <c r="GV107" s="58"/>
      <c r="GW107" s="58"/>
      <c r="GX107" s="58"/>
      <c r="GY107" s="58"/>
      <c r="GZ107" s="58"/>
      <c r="HA107" s="58"/>
      <c r="HB107" s="58"/>
      <c r="HC107" s="58"/>
      <c r="HD107" s="58"/>
      <c r="HE107" s="58"/>
      <c r="HF107" s="58"/>
      <c r="HG107" s="58"/>
      <c r="HH107" s="58"/>
      <c r="HI107" s="58"/>
      <c r="HJ107" s="58"/>
      <c r="HK107" s="58"/>
      <c r="HL107" s="58"/>
      <c r="HM107" s="58"/>
      <c r="HN107" s="58"/>
      <c r="HO107" s="58"/>
      <c r="HP107" s="58"/>
      <c r="HQ107" s="58"/>
      <c r="HR107" s="58"/>
    </row>
    <row r="108" spans="1:301" s="30" customFormat="1" hidden="1" x14ac:dyDescent="0.3">
      <c r="A108" s="141"/>
      <c r="B108" s="141"/>
      <c r="C108" s="141"/>
      <c r="E108" s="58"/>
      <c r="F108" s="58"/>
      <c r="G108" s="58"/>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CM108" s="56"/>
      <c r="CN108" s="56"/>
      <c r="CO108" s="56"/>
      <c r="CP108" s="56"/>
      <c r="CQ108" s="56"/>
      <c r="CR108" s="56"/>
      <c r="CS108" s="58"/>
      <c r="CT108" s="58"/>
      <c r="CU108" s="58"/>
      <c r="CV108" s="58"/>
      <c r="CW108" s="58"/>
      <c r="CX108" s="58"/>
      <c r="CY108" s="58"/>
      <c r="CZ108" s="58"/>
      <c r="DA108" s="58"/>
      <c r="DB108" s="58"/>
      <c r="DC108" s="58"/>
      <c r="DD108" s="58"/>
      <c r="DE108" s="58"/>
      <c r="DF108" s="58"/>
      <c r="DG108" s="58"/>
      <c r="DH108" s="58"/>
      <c r="DI108" s="58"/>
      <c r="DJ108" s="58"/>
      <c r="DK108" s="58"/>
      <c r="DL108" s="58"/>
      <c r="DM108" s="58"/>
      <c r="DN108" s="58"/>
      <c r="DO108" s="58"/>
      <c r="DP108" s="58"/>
      <c r="DQ108" s="58"/>
      <c r="DR108" s="58"/>
      <c r="DS108" s="58"/>
      <c r="DT108" s="58"/>
      <c r="DU108" s="58"/>
      <c r="DV108" s="58"/>
      <c r="DW108" s="58"/>
      <c r="DX108" s="58"/>
      <c r="DY108" s="58"/>
      <c r="DZ108" s="58"/>
      <c r="EA108" s="58"/>
      <c r="EB108" s="58"/>
      <c r="EC108" s="58"/>
      <c r="ED108" s="58"/>
      <c r="EE108" s="58"/>
      <c r="EF108" s="58"/>
      <c r="EG108" s="58"/>
      <c r="EH108" s="58"/>
      <c r="EI108" s="58"/>
      <c r="EJ108" s="58"/>
      <c r="EK108" s="58"/>
      <c r="EL108" s="58"/>
      <c r="EM108" s="58"/>
      <c r="EN108" s="58"/>
      <c r="EO108" s="58"/>
      <c r="EP108" s="58"/>
      <c r="EQ108" s="58"/>
      <c r="ER108" s="58"/>
      <c r="ES108" s="58"/>
      <c r="ET108" s="58"/>
      <c r="EU108" s="58"/>
      <c r="EV108" s="58"/>
      <c r="EW108" s="58"/>
      <c r="EX108" s="58"/>
      <c r="EY108" s="58"/>
      <c r="EZ108" s="58"/>
      <c r="FA108" s="58"/>
      <c r="FB108" s="58"/>
      <c r="FC108" s="58"/>
      <c r="FD108" s="58"/>
      <c r="FE108" s="58"/>
      <c r="FF108" s="58"/>
      <c r="FG108" s="58"/>
      <c r="FH108" s="58"/>
      <c r="FI108" s="58"/>
      <c r="FJ108" s="58"/>
      <c r="FK108" s="58"/>
      <c r="FL108" s="58"/>
      <c r="FM108" s="58"/>
      <c r="FN108" s="58"/>
      <c r="FO108" s="58"/>
      <c r="FP108" s="58"/>
      <c r="FQ108" s="58"/>
      <c r="FR108" s="58"/>
      <c r="FS108" s="58"/>
      <c r="FT108" s="58"/>
      <c r="FU108" s="58"/>
      <c r="FV108" s="58"/>
      <c r="FW108" s="58"/>
      <c r="FX108" s="58"/>
      <c r="FY108" s="58"/>
      <c r="FZ108" s="58"/>
      <c r="GA108" s="58"/>
      <c r="GB108" s="58"/>
      <c r="GC108" s="58"/>
      <c r="GD108" s="58"/>
      <c r="GE108" s="58"/>
      <c r="GF108" s="58"/>
      <c r="GG108" s="58"/>
      <c r="GH108" s="58"/>
      <c r="GI108" s="58"/>
      <c r="GJ108" s="58"/>
      <c r="GK108" s="58"/>
      <c r="GL108" s="58"/>
      <c r="GM108" s="58"/>
      <c r="GN108" s="58"/>
      <c r="GO108" s="58"/>
      <c r="GP108" s="58"/>
      <c r="GQ108" s="58"/>
      <c r="GR108" s="58"/>
      <c r="GS108" s="58"/>
      <c r="GT108" s="58"/>
      <c r="GU108" s="58"/>
      <c r="GV108" s="58"/>
      <c r="GW108" s="58"/>
      <c r="GX108" s="58"/>
      <c r="GY108" s="58"/>
      <c r="GZ108" s="58"/>
      <c r="HA108" s="58"/>
      <c r="HB108" s="58"/>
      <c r="HC108" s="58"/>
      <c r="HD108" s="58"/>
      <c r="HE108" s="58"/>
      <c r="HF108" s="58"/>
      <c r="HG108" s="58"/>
      <c r="HH108" s="58"/>
      <c r="HI108" s="58"/>
      <c r="HJ108" s="58"/>
      <c r="HK108" s="58"/>
      <c r="HL108" s="58"/>
      <c r="HM108" s="58"/>
      <c r="HN108" s="58"/>
      <c r="HO108" s="58"/>
      <c r="HP108" s="58"/>
      <c r="HQ108" s="58"/>
      <c r="HR108" s="58"/>
    </row>
    <row r="109" spans="1:301" s="30" customFormat="1" hidden="1" x14ac:dyDescent="0.3">
      <c r="A109" s="141"/>
      <c r="B109" s="141"/>
      <c r="C109" s="141"/>
      <c r="E109" s="58"/>
      <c r="F109" s="58"/>
      <c r="G109" s="58"/>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DM109" s="56"/>
      <c r="DN109" s="56"/>
      <c r="DO109" s="56"/>
      <c r="DP109" s="56"/>
      <c r="DQ109" s="56"/>
      <c r="DR109" s="56"/>
      <c r="DS109" s="56"/>
      <c r="DT109" s="56"/>
      <c r="DU109" s="56"/>
      <c r="DV109" s="56"/>
      <c r="DW109" s="56"/>
      <c r="DX109" s="56"/>
      <c r="DY109" s="56"/>
      <c r="DZ109" s="56"/>
      <c r="EA109" s="56"/>
      <c r="EB109" s="56"/>
      <c r="EC109" s="56"/>
      <c r="ED109" s="56"/>
      <c r="EE109" s="56"/>
      <c r="EF109" s="56"/>
      <c r="EG109" s="56"/>
      <c r="EH109" s="56"/>
      <c r="EI109" s="56"/>
      <c r="EJ109" s="56"/>
      <c r="EK109" s="56"/>
      <c r="EL109" s="56"/>
      <c r="EM109" s="56"/>
      <c r="EN109" s="56"/>
      <c r="EO109" s="56"/>
      <c r="EP109" s="56"/>
      <c r="EQ109" s="56"/>
      <c r="ER109" s="56"/>
      <c r="ES109" s="56"/>
      <c r="ET109" s="56"/>
      <c r="EU109" s="56"/>
      <c r="EV109" s="56"/>
      <c r="EW109" s="56"/>
      <c r="EX109" s="56"/>
      <c r="EY109" s="56"/>
      <c r="EZ109" s="56"/>
      <c r="FA109" s="56"/>
      <c r="FB109" s="56"/>
      <c r="FC109" s="58"/>
      <c r="FD109" s="58"/>
      <c r="FE109" s="58"/>
      <c r="FF109" s="58"/>
      <c r="FG109" s="58"/>
      <c r="FH109" s="58"/>
      <c r="FI109" s="58"/>
      <c r="FJ109" s="58"/>
      <c r="FK109" s="58"/>
      <c r="FL109" s="58"/>
      <c r="FM109" s="58"/>
      <c r="FN109" s="58"/>
      <c r="FO109" s="58"/>
      <c r="FP109" s="58"/>
      <c r="FQ109" s="58"/>
      <c r="FR109" s="58"/>
      <c r="FS109" s="58"/>
      <c r="FT109" s="58"/>
      <c r="FU109" s="58"/>
      <c r="FV109" s="58"/>
      <c r="FW109" s="58"/>
      <c r="FX109" s="58"/>
      <c r="FY109" s="58"/>
      <c r="FZ109" s="58"/>
      <c r="GA109" s="58"/>
      <c r="GB109" s="58"/>
      <c r="GC109" s="58"/>
      <c r="GD109" s="58"/>
      <c r="GE109" s="58"/>
      <c r="GF109" s="58"/>
      <c r="GG109" s="58"/>
      <c r="GH109" s="58"/>
      <c r="GI109" s="58"/>
      <c r="GJ109" s="58"/>
      <c r="GK109" s="58"/>
      <c r="GL109" s="58"/>
      <c r="GM109" s="58"/>
      <c r="GN109" s="58"/>
      <c r="GO109" s="58"/>
      <c r="GP109" s="58"/>
      <c r="GQ109" s="58"/>
      <c r="GR109" s="58"/>
      <c r="GS109" s="58"/>
      <c r="GT109" s="58"/>
      <c r="GU109" s="58"/>
      <c r="GV109" s="58"/>
      <c r="GW109" s="58"/>
      <c r="GX109" s="58"/>
      <c r="GY109" s="58"/>
      <c r="GZ109" s="58"/>
      <c r="HA109" s="58"/>
      <c r="HB109" s="58"/>
      <c r="HC109" s="58"/>
      <c r="HD109" s="58"/>
      <c r="HE109" s="58"/>
      <c r="HF109" s="58"/>
      <c r="HG109" s="58"/>
      <c r="HH109" s="58"/>
      <c r="HI109" s="58"/>
      <c r="HJ109" s="58"/>
      <c r="HK109" s="58"/>
      <c r="HL109" s="58"/>
      <c r="HM109" s="58"/>
      <c r="HN109" s="58"/>
      <c r="HO109" s="58"/>
      <c r="HP109" s="58"/>
      <c r="HQ109" s="58"/>
      <c r="HR109" s="58"/>
    </row>
    <row r="110" spans="1:301" s="30" customFormat="1" hidden="1" x14ac:dyDescent="0.3">
      <c r="A110" s="141"/>
      <c r="B110" s="141"/>
      <c r="C110" s="141"/>
      <c r="E110" s="58"/>
      <c r="F110" s="58"/>
      <c r="G110" s="58"/>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DT110" s="56"/>
      <c r="DU110" s="56"/>
      <c r="DV110" s="56"/>
      <c r="DW110" s="56"/>
      <c r="DX110" s="56"/>
      <c r="DY110" s="56"/>
      <c r="DZ110" s="56"/>
      <c r="EA110" s="56"/>
      <c r="EB110" s="56"/>
      <c r="EC110" s="56"/>
      <c r="ED110" s="56"/>
      <c r="EE110" s="56"/>
      <c r="EF110" s="56"/>
      <c r="EG110" s="56"/>
      <c r="EH110" s="56"/>
      <c r="EI110" s="56"/>
      <c r="EJ110" s="56"/>
      <c r="EK110" s="56"/>
      <c r="EL110" s="56"/>
      <c r="EM110" s="56"/>
      <c r="EN110" s="56"/>
      <c r="EO110" s="56"/>
      <c r="EP110" s="56"/>
      <c r="EQ110" s="56"/>
      <c r="ER110" s="56"/>
      <c r="ES110" s="56"/>
      <c r="ET110" s="56"/>
      <c r="EU110" s="56"/>
      <c r="EV110" s="56"/>
      <c r="EW110" s="56"/>
      <c r="EX110" s="56"/>
      <c r="EY110" s="56"/>
      <c r="EZ110" s="56"/>
      <c r="FA110" s="56"/>
      <c r="FB110" s="56"/>
      <c r="FC110" s="58"/>
      <c r="FD110" s="58"/>
      <c r="FE110" s="58"/>
      <c r="FF110" s="58"/>
      <c r="FG110" s="58"/>
      <c r="FH110" s="58"/>
      <c r="FI110" s="58"/>
      <c r="FJ110" s="58"/>
      <c r="FK110" s="58"/>
      <c r="FL110" s="58"/>
      <c r="FM110" s="58"/>
      <c r="FN110" s="58"/>
      <c r="FO110" s="58"/>
      <c r="FP110" s="58"/>
      <c r="FQ110" s="58"/>
      <c r="FR110" s="58"/>
      <c r="FS110" s="58"/>
      <c r="FT110" s="58"/>
      <c r="FU110" s="58"/>
      <c r="FV110" s="58"/>
      <c r="FW110" s="58"/>
      <c r="FX110" s="58"/>
      <c r="FY110" s="58"/>
      <c r="FZ110" s="58"/>
      <c r="GA110" s="58"/>
      <c r="GB110" s="58"/>
      <c r="GC110" s="58"/>
      <c r="GD110" s="58"/>
      <c r="GE110" s="58"/>
      <c r="GF110" s="58"/>
      <c r="GG110" s="58"/>
      <c r="GH110" s="58"/>
      <c r="GI110" s="58"/>
      <c r="GJ110" s="58"/>
      <c r="GK110" s="58"/>
      <c r="GL110" s="58"/>
      <c r="GM110" s="58"/>
      <c r="GN110" s="58"/>
      <c r="GO110" s="58"/>
      <c r="GP110" s="58"/>
      <c r="GQ110" s="58"/>
      <c r="GR110" s="58"/>
      <c r="GS110" s="58"/>
      <c r="GT110" s="58"/>
      <c r="GU110" s="58"/>
      <c r="GV110" s="58"/>
      <c r="GW110" s="58"/>
      <c r="GX110" s="58"/>
      <c r="GY110" s="58"/>
      <c r="GZ110" s="58"/>
      <c r="HA110" s="58"/>
      <c r="HB110" s="58"/>
      <c r="HC110" s="58"/>
      <c r="HD110" s="58"/>
      <c r="HE110" s="58"/>
      <c r="HF110" s="58"/>
      <c r="HG110" s="58"/>
      <c r="HH110" s="58"/>
      <c r="HI110" s="58"/>
      <c r="HJ110" s="58"/>
      <c r="HK110" s="58"/>
      <c r="HL110" s="58"/>
      <c r="HM110" s="58"/>
      <c r="HN110" s="58"/>
      <c r="HO110" s="58"/>
      <c r="HP110" s="58"/>
      <c r="HQ110" s="58"/>
      <c r="HR110" s="58"/>
    </row>
    <row r="111" spans="1:301" s="30" customFormat="1" hidden="1" x14ac:dyDescent="0.3">
      <c r="A111" s="141"/>
      <c r="B111" s="141"/>
      <c r="C111" s="141"/>
      <c r="E111" s="58"/>
      <c r="F111" s="58"/>
      <c r="G111" s="58"/>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DT111" s="58"/>
      <c r="DU111" s="58"/>
      <c r="DV111" s="58"/>
      <c r="DW111" s="58"/>
      <c r="DX111" s="58"/>
      <c r="DY111" s="58"/>
      <c r="DZ111" s="58"/>
      <c r="EA111" s="58"/>
      <c r="EB111" s="58"/>
      <c r="EC111" s="58"/>
      <c r="ED111" s="58"/>
      <c r="EE111" s="58"/>
      <c r="EF111" s="58"/>
      <c r="EG111" s="58"/>
      <c r="EH111" s="58"/>
      <c r="EI111" s="58"/>
      <c r="EJ111" s="58"/>
      <c r="EK111" s="58"/>
      <c r="EL111" s="58"/>
      <c r="EM111" s="58"/>
      <c r="EN111" s="58"/>
      <c r="EO111" s="58"/>
      <c r="EP111" s="58"/>
      <c r="EQ111" s="58"/>
      <c r="ER111" s="58"/>
      <c r="ES111" s="58"/>
      <c r="ET111" s="58"/>
      <c r="EU111" s="58"/>
      <c r="EV111" s="58"/>
      <c r="EW111" s="58"/>
      <c r="EX111" s="58"/>
      <c r="EY111" s="58"/>
      <c r="EZ111" s="58"/>
      <c r="FA111" s="58"/>
      <c r="FB111" s="58"/>
      <c r="FC111" s="58"/>
      <c r="FD111" s="58"/>
      <c r="FE111" s="58"/>
      <c r="FF111" s="58"/>
      <c r="FG111" s="58"/>
      <c r="FH111" s="58"/>
      <c r="FI111" s="58"/>
      <c r="FJ111" s="58"/>
      <c r="FK111" s="58"/>
      <c r="FL111" s="58"/>
      <c r="FM111" s="58"/>
      <c r="FN111" s="58"/>
      <c r="FO111" s="58"/>
      <c r="FP111" s="58"/>
      <c r="FQ111" s="58"/>
      <c r="FR111" s="58"/>
      <c r="FS111" s="58"/>
      <c r="FT111" s="58"/>
      <c r="FU111" s="58"/>
      <c r="FV111" s="58"/>
      <c r="FW111" s="58"/>
      <c r="FX111" s="58"/>
      <c r="FY111" s="58"/>
      <c r="FZ111" s="58"/>
      <c r="GA111" s="58"/>
      <c r="GB111" s="58"/>
      <c r="GC111" s="58"/>
      <c r="GD111" s="58"/>
      <c r="GE111" s="58"/>
      <c r="GF111" s="58"/>
      <c r="GG111" s="58"/>
      <c r="GH111" s="58"/>
      <c r="GI111" s="58"/>
      <c r="GJ111" s="58"/>
      <c r="GK111" s="58"/>
      <c r="GL111" s="58"/>
      <c r="GM111" s="58"/>
      <c r="GN111" s="58"/>
      <c r="GO111" s="58"/>
      <c r="GP111" s="58"/>
      <c r="GQ111" s="58"/>
      <c r="GR111" s="58"/>
      <c r="GS111" s="58"/>
      <c r="GT111" s="58"/>
      <c r="GU111" s="58"/>
      <c r="GV111" s="58"/>
      <c r="GW111" s="58"/>
      <c r="GX111" s="58"/>
      <c r="GY111" s="58"/>
      <c r="GZ111" s="58"/>
      <c r="HA111" s="58"/>
      <c r="HB111" s="58"/>
      <c r="HC111" s="58"/>
      <c r="HD111" s="58"/>
      <c r="HE111" s="58"/>
      <c r="HF111" s="58"/>
      <c r="HG111" s="58"/>
      <c r="HH111" s="58"/>
      <c r="HI111" s="58"/>
      <c r="HJ111" s="58"/>
      <c r="HK111" s="58"/>
      <c r="HL111" s="58"/>
      <c r="HM111" s="58"/>
      <c r="HN111" s="58"/>
      <c r="HO111" s="58"/>
      <c r="HP111" s="58"/>
      <c r="HQ111" s="58"/>
      <c r="HR111" s="58"/>
    </row>
    <row r="112" spans="1:301" s="30" customFormat="1" hidden="1" x14ac:dyDescent="0.3">
      <c r="A112" s="141"/>
      <c r="B112" s="141"/>
      <c r="C112" s="141"/>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DT112" s="58"/>
      <c r="DU112" s="58"/>
      <c r="DV112" s="58"/>
      <c r="DW112" s="58"/>
      <c r="DX112" s="58"/>
      <c r="DY112" s="58"/>
      <c r="DZ112" s="58"/>
      <c r="EA112" s="58"/>
      <c r="EB112" s="58"/>
      <c r="EC112" s="58"/>
      <c r="ED112" s="58"/>
      <c r="EE112" s="58"/>
      <c r="EF112" s="58"/>
      <c r="EG112" s="58"/>
      <c r="EH112" s="58"/>
      <c r="EI112" s="58"/>
      <c r="EJ112" s="58"/>
      <c r="EK112" s="58"/>
      <c r="EL112" s="58"/>
      <c r="EM112" s="58"/>
      <c r="EN112" s="58"/>
      <c r="EO112" s="58"/>
      <c r="EP112" s="58"/>
      <c r="EQ112" s="58"/>
      <c r="ER112" s="58"/>
      <c r="ES112" s="58"/>
      <c r="ET112" s="58"/>
      <c r="EU112" s="58"/>
      <c r="EV112" s="58"/>
      <c r="EW112" s="58"/>
      <c r="EX112" s="58"/>
      <c r="EY112" s="58"/>
      <c r="EZ112" s="58"/>
      <c r="FA112" s="58"/>
      <c r="FB112" s="58"/>
      <c r="FC112" s="58"/>
      <c r="FD112" s="58"/>
      <c r="FE112" s="58"/>
      <c r="FF112" s="58"/>
      <c r="FG112" s="58"/>
      <c r="FH112" s="58"/>
      <c r="FI112" s="58"/>
      <c r="FJ112" s="58"/>
      <c r="FK112" s="58"/>
      <c r="FL112" s="58"/>
      <c r="FM112" s="58"/>
      <c r="FN112" s="58"/>
      <c r="FO112" s="58"/>
      <c r="FP112" s="58"/>
      <c r="FQ112" s="58"/>
      <c r="FR112" s="58"/>
      <c r="FS112" s="58"/>
      <c r="FT112" s="58"/>
      <c r="FU112" s="58"/>
      <c r="FV112" s="58"/>
      <c r="FW112" s="58"/>
      <c r="FX112" s="58"/>
      <c r="FY112" s="58"/>
      <c r="FZ112" s="58"/>
      <c r="GA112" s="58"/>
      <c r="GB112" s="58"/>
      <c r="GC112" s="58"/>
      <c r="GD112" s="58"/>
      <c r="GE112" s="58"/>
      <c r="GF112" s="58"/>
      <c r="GG112" s="58"/>
      <c r="GH112" s="58"/>
      <c r="GI112" s="58"/>
      <c r="GJ112" s="58"/>
      <c r="GK112" s="58"/>
      <c r="GL112" s="58"/>
      <c r="GM112" s="58"/>
      <c r="GN112" s="58"/>
      <c r="GO112" s="58"/>
      <c r="GP112" s="58"/>
      <c r="GQ112" s="58"/>
      <c r="GR112" s="58"/>
      <c r="GS112" s="58"/>
      <c r="GT112" s="58"/>
      <c r="GU112" s="58"/>
      <c r="GV112" s="58"/>
      <c r="GW112" s="58"/>
      <c r="GX112" s="58"/>
      <c r="GY112" s="58"/>
      <c r="GZ112" s="58"/>
      <c r="HA112" s="58"/>
      <c r="HB112" s="58"/>
      <c r="HC112" s="58"/>
      <c r="HD112" s="58"/>
      <c r="HE112" s="58"/>
      <c r="HF112" s="58"/>
      <c r="HG112" s="58"/>
      <c r="HH112" s="58"/>
      <c r="HI112" s="58"/>
      <c r="HJ112" s="58"/>
      <c r="HK112" s="58"/>
      <c r="HL112" s="58"/>
      <c r="HM112" s="58"/>
      <c r="HN112" s="58"/>
      <c r="HO112" s="58"/>
      <c r="HP112" s="58"/>
      <c r="HQ112" s="58"/>
      <c r="HR112" s="58"/>
    </row>
    <row r="113" spans="1:226" s="30" customFormat="1" hidden="1" x14ac:dyDescent="0.3">
      <c r="A113" s="141"/>
      <c r="B113" s="141"/>
      <c r="C113" s="141"/>
      <c r="E113" s="58"/>
      <c r="F113" s="58"/>
      <c r="G113" s="58"/>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CS113" s="58"/>
      <c r="CT113" s="58"/>
      <c r="CU113" s="58"/>
      <c r="CV113" s="58"/>
      <c r="CW113" s="58"/>
      <c r="CX113" s="58"/>
      <c r="CY113" s="58"/>
      <c r="CZ113" s="58"/>
      <c r="DA113" s="58"/>
      <c r="DB113" s="58"/>
      <c r="DC113" s="58"/>
      <c r="DD113" s="58"/>
      <c r="DE113" s="58"/>
      <c r="DF113" s="58"/>
      <c r="DG113" s="58"/>
      <c r="DH113" s="58"/>
      <c r="DI113" s="58"/>
      <c r="DJ113" s="58"/>
      <c r="DK113" s="58"/>
      <c r="DL113" s="58"/>
      <c r="DM113" s="58"/>
      <c r="DN113" s="58"/>
      <c r="DO113" s="58"/>
      <c r="DP113" s="58"/>
      <c r="DQ113" s="58"/>
      <c r="DR113" s="58"/>
      <c r="DS113" s="58"/>
      <c r="DT113" s="58"/>
      <c r="DU113" s="58"/>
      <c r="DV113" s="58"/>
      <c r="DW113" s="58"/>
      <c r="DX113" s="58"/>
      <c r="DY113" s="58"/>
      <c r="DZ113" s="58"/>
      <c r="EA113" s="58"/>
      <c r="EB113" s="58"/>
      <c r="EC113" s="58"/>
      <c r="ED113" s="58"/>
      <c r="EE113" s="58"/>
      <c r="EF113" s="58"/>
      <c r="EG113" s="58"/>
      <c r="EH113" s="58"/>
      <c r="EI113" s="58"/>
      <c r="EJ113" s="58"/>
      <c r="EK113" s="58"/>
      <c r="EL113" s="58"/>
      <c r="EM113" s="58"/>
      <c r="EN113" s="58"/>
      <c r="EO113" s="58"/>
      <c r="EP113" s="58"/>
      <c r="EQ113" s="58"/>
      <c r="ER113" s="58"/>
      <c r="ES113" s="58"/>
      <c r="ET113" s="58"/>
      <c r="EU113" s="58"/>
      <c r="EV113" s="58"/>
      <c r="EW113" s="58"/>
      <c r="EX113" s="58"/>
      <c r="EY113" s="58"/>
      <c r="EZ113" s="58"/>
      <c r="FA113" s="58"/>
      <c r="FB113" s="58"/>
      <c r="FC113" s="58"/>
      <c r="FD113" s="58"/>
      <c r="FE113" s="58"/>
      <c r="FF113" s="58"/>
      <c r="FG113" s="58"/>
      <c r="FH113" s="58"/>
      <c r="FI113" s="58"/>
      <c r="FJ113" s="58"/>
      <c r="FK113" s="58"/>
      <c r="FL113" s="58"/>
      <c r="FM113" s="58"/>
      <c r="FN113" s="58"/>
      <c r="FO113" s="58"/>
      <c r="FP113" s="58"/>
      <c r="FQ113" s="58"/>
      <c r="FR113" s="58"/>
      <c r="FS113" s="58"/>
      <c r="FT113" s="58"/>
      <c r="FU113" s="58"/>
      <c r="FV113" s="58"/>
      <c r="FW113" s="58"/>
      <c r="FX113" s="58"/>
      <c r="FY113" s="58"/>
      <c r="FZ113" s="58"/>
      <c r="GA113" s="58"/>
      <c r="GB113" s="58"/>
      <c r="GC113" s="58"/>
      <c r="GD113" s="58"/>
      <c r="GE113" s="58"/>
      <c r="GF113" s="58"/>
      <c r="GG113" s="58"/>
      <c r="GH113" s="58"/>
      <c r="GI113" s="58"/>
      <c r="GJ113" s="58"/>
      <c r="GK113" s="58"/>
      <c r="GL113" s="58"/>
      <c r="GM113" s="58"/>
      <c r="GN113" s="58"/>
      <c r="GO113" s="58"/>
      <c r="GP113" s="58"/>
      <c r="GQ113" s="58"/>
      <c r="GR113" s="58"/>
      <c r="GS113" s="58"/>
      <c r="GT113" s="58"/>
      <c r="GU113" s="58"/>
      <c r="GV113" s="58"/>
      <c r="GW113" s="58"/>
      <c r="GX113" s="58"/>
      <c r="GY113" s="58"/>
      <c r="GZ113" s="58"/>
      <c r="HA113" s="58"/>
      <c r="HB113" s="58"/>
      <c r="HC113" s="58"/>
      <c r="HD113" s="58"/>
      <c r="HE113" s="58"/>
      <c r="HF113" s="58"/>
      <c r="HG113" s="58"/>
      <c r="HH113" s="58"/>
      <c r="HI113" s="58"/>
      <c r="HJ113" s="58"/>
      <c r="HK113" s="58"/>
      <c r="HL113" s="58"/>
      <c r="HM113" s="58"/>
      <c r="HN113" s="58"/>
      <c r="HO113" s="58"/>
      <c r="HP113" s="58"/>
      <c r="HQ113" s="58"/>
      <c r="HR113" s="58"/>
    </row>
    <row r="114" spans="1:226" s="30" customFormat="1" hidden="1" x14ac:dyDescent="0.3">
      <c r="A114" s="141"/>
      <c r="B114" s="141"/>
      <c r="C114" s="141"/>
      <c r="E114" s="58"/>
      <c r="F114" s="58"/>
      <c r="G114" s="58"/>
      <c r="H114" s="58"/>
      <c r="I114" s="5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DT114" s="56"/>
      <c r="DU114" s="56"/>
      <c r="DV114" s="56"/>
      <c r="DW114" s="56"/>
      <c r="DX114" s="56"/>
      <c r="DY114" s="56"/>
      <c r="DZ114" s="56"/>
      <c r="EA114" s="56"/>
      <c r="EB114" s="56"/>
      <c r="EC114" s="56"/>
      <c r="ED114" s="56"/>
      <c r="EE114" s="56"/>
      <c r="EF114" s="56"/>
      <c r="EG114" s="56"/>
      <c r="EH114" s="56"/>
      <c r="EI114" s="56"/>
      <c r="EJ114" s="56"/>
      <c r="EK114" s="56"/>
      <c r="EL114" s="56"/>
      <c r="EM114" s="56"/>
      <c r="EN114" s="56"/>
      <c r="EO114" s="56"/>
      <c r="EP114" s="56"/>
      <c r="EQ114" s="56"/>
      <c r="ER114" s="56"/>
      <c r="ES114" s="56"/>
      <c r="ET114" s="56"/>
      <c r="EU114" s="56"/>
      <c r="EV114" s="56"/>
      <c r="EW114" s="56"/>
      <c r="EX114" s="56"/>
      <c r="EY114" s="56"/>
      <c r="EZ114" s="56"/>
      <c r="FA114" s="56"/>
      <c r="FB114" s="56"/>
      <c r="FC114" s="58"/>
      <c r="FD114" s="58"/>
      <c r="FE114" s="58"/>
      <c r="FF114" s="58"/>
      <c r="FG114" s="58"/>
      <c r="FH114" s="58"/>
      <c r="FI114" s="58"/>
      <c r="FJ114" s="58"/>
      <c r="FK114" s="58"/>
      <c r="FL114" s="58"/>
      <c r="FM114" s="58"/>
      <c r="FN114" s="58"/>
      <c r="FO114" s="58"/>
      <c r="FP114" s="58"/>
      <c r="FQ114" s="58"/>
      <c r="FR114" s="58"/>
      <c r="FS114" s="58"/>
      <c r="FT114" s="58"/>
      <c r="FU114" s="58"/>
      <c r="FV114" s="58"/>
      <c r="FW114" s="58"/>
      <c r="FX114" s="58"/>
      <c r="FY114" s="58"/>
      <c r="FZ114" s="58"/>
      <c r="GA114" s="58"/>
      <c r="GB114" s="58"/>
      <c r="GC114" s="58"/>
      <c r="GD114" s="58"/>
      <c r="GE114" s="58"/>
      <c r="GF114" s="58"/>
      <c r="GG114" s="58"/>
      <c r="GH114" s="58"/>
      <c r="GI114" s="58"/>
      <c r="GJ114" s="58"/>
      <c r="GK114" s="58"/>
      <c r="GL114" s="58"/>
      <c r="GM114" s="58"/>
      <c r="GN114" s="58"/>
      <c r="GO114" s="58"/>
      <c r="GP114" s="58"/>
      <c r="GQ114" s="58"/>
      <c r="GR114" s="58"/>
      <c r="GS114" s="58"/>
      <c r="GT114" s="58"/>
      <c r="GU114" s="58"/>
      <c r="GV114" s="58"/>
      <c r="GW114" s="58"/>
      <c r="GX114" s="58"/>
      <c r="GY114" s="58"/>
      <c r="GZ114" s="58"/>
      <c r="HA114" s="58"/>
      <c r="HB114" s="58"/>
      <c r="HC114" s="58"/>
      <c r="HD114" s="58"/>
      <c r="HE114" s="58"/>
      <c r="HF114" s="58"/>
      <c r="HG114" s="58"/>
      <c r="HH114" s="58"/>
      <c r="HI114" s="58"/>
      <c r="HJ114" s="58"/>
      <c r="HK114" s="58"/>
      <c r="HL114" s="58"/>
      <c r="HM114" s="58"/>
      <c r="HN114" s="58"/>
      <c r="HO114" s="58"/>
      <c r="HP114" s="58"/>
      <c r="HQ114" s="58"/>
      <c r="HR114" s="58"/>
    </row>
    <row r="115" spans="1:226" s="30" customFormat="1" hidden="1" x14ac:dyDescent="0.3">
      <c r="A115" s="141"/>
      <c r="B115" s="141"/>
      <c r="C115" s="141"/>
      <c r="E115" s="58"/>
      <c r="F115" s="58"/>
      <c r="G115" s="58"/>
      <c r="H115" s="58"/>
      <c r="I115" s="5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FC115" s="58"/>
      <c r="FD115" s="58"/>
      <c r="FE115" s="58"/>
      <c r="FF115" s="58"/>
      <c r="FG115" s="58"/>
      <c r="FH115" s="58"/>
      <c r="FI115" s="58"/>
      <c r="FJ115" s="58"/>
      <c r="FK115" s="58"/>
      <c r="FL115" s="58"/>
      <c r="FM115" s="58"/>
      <c r="FN115" s="58"/>
      <c r="FO115" s="58"/>
      <c r="FP115" s="58"/>
      <c r="FQ115" s="58"/>
      <c r="FR115" s="58"/>
      <c r="FS115" s="58"/>
      <c r="FT115" s="58"/>
      <c r="FU115" s="58"/>
      <c r="FV115" s="58"/>
      <c r="FW115" s="58"/>
      <c r="FX115" s="58"/>
      <c r="FY115" s="58"/>
      <c r="FZ115" s="58"/>
      <c r="GA115" s="58"/>
      <c r="GB115" s="58"/>
      <c r="GC115" s="58"/>
      <c r="GD115" s="58"/>
      <c r="GE115" s="58"/>
      <c r="GF115" s="58"/>
      <c r="GG115" s="58"/>
      <c r="GH115" s="58"/>
      <c r="GI115" s="58"/>
      <c r="GJ115" s="58"/>
      <c r="GK115" s="58"/>
      <c r="GL115" s="58"/>
      <c r="GM115" s="58"/>
      <c r="GN115" s="58"/>
      <c r="GO115" s="58"/>
      <c r="GP115" s="58"/>
      <c r="GQ115" s="58"/>
      <c r="GR115" s="58"/>
      <c r="GS115" s="58"/>
      <c r="GT115" s="58"/>
      <c r="GU115" s="58"/>
      <c r="GV115" s="58"/>
      <c r="GW115" s="58"/>
      <c r="GX115" s="58"/>
      <c r="GY115" s="58"/>
      <c r="GZ115" s="58"/>
      <c r="HA115" s="58"/>
      <c r="HB115" s="58"/>
      <c r="HC115" s="58"/>
      <c r="HD115" s="58"/>
      <c r="HE115" s="58"/>
      <c r="HF115" s="58"/>
      <c r="HG115" s="58"/>
      <c r="HH115" s="58"/>
      <c r="HI115" s="58"/>
      <c r="HJ115" s="58"/>
      <c r="HK115" s="58"/>
      <c r="HL115" s="58"/>
      <c r="HM115" s="58"/>
      <c r="HN115" s="58"/>
      <c r="HO115" s="58"/>
      <c r="HP115" s="58"/>
      <c r="HQ115" s="58"/>
      <c r="HR115" s="58"/>
    </row>
    <row r="116" spans="1:226" s="30" customFormat="1" hidden="1" x14ac:dyDescent="0.3">
      <c r="A116" s="141"/>
      <c r="B116" s="141"/>
      <c r="C116" s="141"/>
      <c r="E116" s="58"/>
      <c r="F116" s="58"/>
      <c r="G116" s="58"/>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FC116" s="58"/>
      <c r="FD116" s="58"/>
      <c r="FE116" s="58"/>
      <c r="FF116" s="58"/>
      <c r="FG116" s="58"/>
      <c r="FH116" s="58"/>
      <c r="FI116" s="58"/>
      <c r="FJ116" s="58"/>
      <c r="FK116" s="58"/>
      <c r="FL116" s="58"/>
      <c r="FM116" s="58"/>
      <c r="FN116" s="58"/>
      <c r="FO116" s="58"/>
      <c r="FP116" s="58"/>
      <c r="FQ116" s="58"/>
      <c r="FR116" s="58"/>
      <c r="FS116" s="58"/>
      <c r="FT116" s="58"/>
      <c r="FU116" s="58"/>
      <c r="FV116" s="58"/>
      <c r="FW116" s="58"/>
      <c r="FX116" s="58"/>
      <c r="FY116" s="58"/>
      <c r="FZ116" s="58"/>
      <c r="GA116" s="58"/>
      <c r="GB116" s="58"/>
      <c r="GC116" s="58"/>
      <c r="GD116" s="58"/>
      <c r="GE116" s="58"/>
      <c r="GF116" s="58"/>
      <c r="GG116" s="58"/>
      <c r="GH116" s="58"/>
      <c r="GI116" s="58"/>
      <c r="GJ116" s="58"/>
      <c r="GK116" s="58"/>
      <c r="GL116" s="58"/>
      <c r="GM116" s="58"/>
      <c r="GN116" s="58"/>
      <c r="GO116" s="58"/>
      <c r="GP116" s="58"/>
      <c r="GQ116" s="58"/>
      <c r="GR116" s="58"/>
      <c r="GS116" s="58"/>
      <c r="GT116" s="58"/>
      <c r="GU116" s="58"/>
      <c r="GV116" s="58"/>
      <c r="GW116" s="58"/>
      <c r="GX116" s="58"/>
      <c r="GY116" s="58"/>
      <c r="GZ116" s="58"/>
      <c r="HA116" s="58"/>
      <c r="HB116" s="58"/>
      <c r="HC116" s="58"/>
      <c r="HD116" s="58"/>
      <c r="HE116" s="58"/>
      <c r="HF116" s="58"/>
      <c r="HG116" s="58"/>
      <c r="HH116" s="58"/>
      <c r="HI116" s="58"/>
      <c r="HJ116" s="58"/>
      <c r="HK116" s="58"/>
      <c r="HL116" s="58"/>
      <c r="HM116" s="58"/>
      <c r="HN116" s="58"/>
      <c r="HO116" s="58"/>
      <c r="HP116" s="58"/>
      <c r="HQ116" s="58"/>
      <c r="HR116" s="58"/>
    </row>
    <row r="117" spans="1:226" s="30" customFormat="1" hidden="1" x14ac:dyDescent="0.3">
      <c r="A117" s="141"/>
      <c r="B117" s="141"/>
      <c r="C117" s="141"/>
      <c r="E117" s="58"/>
      <c r="F117" s="58"/>
      <c r="G117" s="58"/>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DT117" s="58"/>
      <c r="DU117" s="58"/>
      <c r="DV117" s="58"/>
      <c r="DW117" s="58"/>
      <c r="DX117" s="58"/>
      <c r="DY117" s="58"/>
      <c r="DZ117" s="58"/>
      <c r="EA117" s="58"/>
      <c r="EB117" s="58"/>
      <c r="EC117" s="58"/>
      <c r="ED117" s="58"/>
      <c r="EE117" s="58"/>
      <c r="EF117" s="58"/>
      <c r="EG117" s="58"/>
      <c r="EH117" s="58"/>
      <c r="EI117" s="58"/>
      <c r="EJ117" s="58"/>
      <c r="EK117" s="58"/>
      <c r="EL117" s="58"/>
      <c r="EM117" s="58"/>
      <c r="EN117" s="58"/>
      <c r="EO117" s="58"/>
      <c r="EP117" s="58"/>
      <c r="EQ117" s="58"/>
      <c r="ER117" s="58"/>
      <c r="ES117" s="58"/>
      <c r="ET117" s="58"/>
      <c r="EU117" s="58"/>
      <c r="EV117" s="58"/>
      <c r="EW117" s="58"/>
      <c r="EX117" s="58"/>
      <c r="EY117" s="58"/>
      <c r="EZ117" s="58"/>
      <c r="FA117" s="58"/>
      <c r="FB117" s="58"/>
      <c r="FC117" s="58"/>
      <c r="FD117" s="58"/>
      <c r="FE117" s="58"/>
      <c r="FF117" s="58"/>
      <c r="FG117" s="58"/>
      <c r="FH117" s="58"/>
      <c r="FI117" s="58"/>
      <c r="FJ117" s="58"/>
      <c r="FK117" s="58"/>
      <c r="FL117" s="58"/>
      <c r="FM117" s="58"/>
      <c r="FN117" s="58"/>
      <c r="FO117" s="58"/>
      <c r="FP117" s="58"/>
      <c r="FQ117" s="58"/>
      <c r="FR117" s="58"/>
      <c r="FS117" s="58"/>
      <c r="FT117" s="58"/>
      <c r="FU117" s="58"/>
      <c r="FV117" s="58"/>
      <c r="FW117" s="58"/>
      <c r="FX117" s="58"/>
      <c r="FY117" s="58"/>
      <c r="FZ117" s="58"/>
      <c r="GA117" s="58"/>
      <c r="GB117" s="58"/>
      <c r="GC117" s="58"/>
      <c r="GD117" s="58"/>
      <c r="GE117" s="58"/>
      <c r="GF117" s="58"/>
      <c r="GG117" s="58"/>
      <c r="GH117" s="58"/>
      <c r="GI117" s="58"/>
      <c r="GJ117" s="58"/>
      <c r="GK117" s="58"/>
      <c r="GL117" s="58"/>
      <c r="GM117" s="58"/>
      <c r="GN117" s="58"/>
      <c r="GO117" s="58"/>
      <c r="GP117" s="58"/>
      <c r="GQ117" s="58"/>
      <c r="GR117" s="58"/>
      <c r="GS117" s="58"/>
      <c r="GT117" s="58"/>
      <c r="GU117" s="58"/>
      <c r="GV117" s="58"/>
      <c r="GW117" s="58"/>
      <c r="GX117" s="58"/>
      <c r="GY117" s="58"/>
      <c r="GZ117" s="58"/>
      <c r="HA117" s="58"/>
      <c r="HB117" s="58"/>
      <c r="HC117" s="58"/>
      <c r="HD117" s="58"/>
      <c r="HE117" s="58"/>
      <c r="HF117" s="58"/>
      <c r="HG117" s="58"/>
      <c r="HH117" s="58"/>
      <c r="HI117" s="58"/>
      <c r="HJ117" s="58"/>
      <c r="HK117" s="58"/>
      <c r="HL117" s="58"/>
      <c r="HM117" s="58"/>
      <c r="HN117" s="58"/>
      <c r="HO117" s="58"/>
      <c r="HP117" s="58"/>
      <c r="HQ117" s="58"/>
      <c r="HR117" s="58"/>
    </row>
    <row r="118" spans="1:226" s="30" customFormat="1" hidden="1" x14ac:dyDescent="0.3">
      <c r="A118" s="141"/>
      <c r="B118" s="141"/>
      <c r="C118" s="141"/>
      <c r="E118" s="58"/>
      <c r="F118" s="58"/>
      <c r="G118" s="58"/>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FC118" s="58"/>
      <c r="FD118" s="58"/>
      <c r="FE118" s="58"/>
      <c r="FF118" s="58"/>
      <c r="FG118" s="58"/>
      <c r="FH118" s="58"/>
      <c r="FI118" s="58"/>
      <c r="FJ118" s="58"/>
      <c r="FK118" s="58"/>
      <c r="FL118" s="58"/>
      <c r="FM118" s="58"/>
      <c r="FN118" s="58"/>
      <c r="FO118" s="58"/>
      <c r="FP118" s="58"/>
      <c r="FQ118" s="58"/>
      <c r="FR118" s="58"/>
      <c r="FS118" s="58"/>
      <c r="FT118" s="58"/>
      <c r="FU118" s="58"/>
      <c r="FV118" s="58"/>
      <c r="FW118" s="58"/>
      <c r="FX118" s="58"/>
      <c r="FY118" s="58"/>
      <c r="FZ118" s="58"/>
      <c r="GA118" s="58"/>
      <c r="GB118" s="58"/>
      <c r="GC118" s="58"/>
      <c r="GD118" s="58"/>
      <c r="GE118" s="58"/>
      <c r="GF118" s="58"/>
      <c r="GG118" s="58"/>
      <c r="GH118" s="58"/>
      <c r="GI118" s="58"/>
      <c r="GJ118" s="58"/>
      <c r="GK118" s="58"/>
      <c r="GL118" s="58"/>
      <c r="GM118" s="58"/>
      <c r="GN118" s="58"/>
      <c r="GO118" s="58"/>
      <c r="GP118" s="58"/>
      <c r="GQ118" s="58"/>
      <c r="GR118" s="58"/>
      <c r="GS118" s="58"/>
      <c r="GT118" s="58"/>
      <c r="GU118" s="58"/>
      <c r="GV118" s="58"/>
      <c r="GW118" s="58"/>
      <c r="GX118" s="58"/>
      <c r="GY118" s="58"/>
      <c r="GZ118" s="58"/>
      <c r="HA118" s="58"/>
      <c r="HB118" s="58"/>
      <c r="HC118" s="58"/>
      <c r="HD118" s="58"/>
      <c r="HE118" s="58"/>
      <c r="HF118" s="58"/>
      <c r="HG118" s="58"/>
      <c r="HH118" s="58"/>
      <c r="HI118" s="58"/>
      <c r="HJ118" s="58"/>
      <c r="HK118" s="58"/>
      <c r="HL118" s="58"/>
      <c r="HM118" s="58"/>
      <c r="HN118" s="58"/>
      <c r="HO118" s="58"/>
      <c r="HP118" s="58"/>
      <c r="HQ118" s="58"/>
      <c r="HR118" s="58"/>
    </row>
    <row r="119" spans="1:226" s="30" customFormat="1" hidden="1" x14ac:dyDescent="0.3">
      <c r="A119" s="141"/>
      <c r="B119" s="141"/>
      <c r="C119" s="141"/>
      <c r="E119" s="58"/>
      <c r="F119" s="58"/>
      <c r="G119" s="58"/>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CS119" s="58"/>
      <c r="CT119" s="58"/>
      <c r="CU119" s="58"/>
      <c r="CV119" s="58"/>
      <c r="CW119" s="58"/>
      <c r="CX119" s="58"/>
      <c r="CY119" s="58"/>
      <c r="CZ119" s="58"/>
      <c r="DA119" s="58"/>
      <c r="DB119" s="58"/>
      <c r="DC119" s="58"/>
      <c r="DD119" s="58"/>
      <c r="DE119" s="58"/>
      <c r="DF119" s="58"/>
      <c r="DG119" s="58"/>
      <c r="DH119" s="58"/>
      <c r="DI119" s="58"/>
      <c r="DJ119" s="58"/>
      <c r="DK119" s="58"/>
      <c r="DL119" s="58"/>
      <c r="DM119" s="58"/>
      <c r="DN119" s="58"/>
      <c r="DO119" s="58"/>
      <c r="DP119" s="58"/>
      <c r="DQ119" s="58"/>
      <c r="DR119" s="58"/>
      <c r="DS119" s="58"/>
      <c r="DT119" s="58"/>
      <c r="DU119" s="58"/>
      <c r="DV119" s="58"/>
      <c r="DW119" s="58"/>
      <c r="DX119" s="58"/>
      <c r="DY119" s="58"/>
      <c r="DZ119" s="58"/>
      <c r="EA119" s="58"/>
      <c r="EB119" s="58"/>
      <c r="EC119" s="58"/>
      <c r="ED119" s="58"/>
      <c r="EE119" s="58"/>
      <c r="EF119" s="58"/>
      <c r="EG119" s="58"/>
      <c r="EH119" s="58"/>
      <c r="EI119" s="58"/>
      <c r="EJ119" s="58"/>
      <c r="EK119" s="58"/>
      <c r="EL119" s="58"/>
      <c r="EM119" s="58"/>
      <c r="EN119" s="58"/>
      <c r="EO119" s="58"/>
      <c r="EP119" s="58"/>
      <c r="EQ119" s="58"/>
      <c r="ER119" s="58"/>
      <c r="ES119" s="58"/>
      <c r="ET119" s="58"/>
      <c r="EU119" s="58"/>
      <c r="EV119" s="58"/>
      <c r="EW119" s="58"/>
      <c r="EX119" s="58"/>
      <c r="EY119" s="58"/>
      <c r="EZ119" s="58"/>
      <c r="FA119" s="58"/>
      <c r="FB119" s="58"/>
      <c r="FC119" s="58"/>
      <c r="FD119" s="58"/>
      <c r="FE119" s="58"/>
      <c r="FF119" s="58"/>
      <c r="FG119" s="58"/>
      <c r="FH119" s="58"/>
      <c r="FI119" s="58"/>
      <c r="FJ119" s="58"/>
      <c r="FK119" s="58"/>
      <c r="FL119" s="58"/>
      <c r="FM119" s="58"/>
      <c r="FN119" s="58"/>
      <c r="FO119" s="58"/>
      <c r="FP119" s="58"/>
      <c r="FQ119" s="58"/>
      <c r="FR119" s="58"/>
      <c r="FS119" s="58"/>
      <c r="FT119" s="58"/>
      <c r="FU119" s="58"/>
      <c r="FV119" s="58"/>
      <c r="FW119" s="58"/>
      <c r="FX119" s="58"/>
      <c r="FY119" s="58"/>
      <c r="FZ119" s="58"/>
      <c r="GA119" s="58"/>
      <c r="GB119" s="58"/>
      <c r="GC119" s="58"/>
      <c r="GD119" s="58"/>
      <c r="GE119" s="58"/>
      <c r="GF119" s="58"/>
      <c r="GG119" s="58"/>
      <c r="GH119" s="58"/>
      <c r="GI119" s="58"/>
      <c r="GJ119" s="58"/>
      <c r="GK119" s="58"/>
      <c r="GL119" s="58"/>
      <c r="GM119" s="58"/>
      <c r="GN119" s="58"/>
      <c r="GO119" s="58"/>
      <c r="GP119" s="58"/>
      <c r="GQ119" s="58"/>
      <c r="GR119" s="58"/>
      <c r="GS119" s="58"/>
      <c r="GT119" s="58"/>
      <c r="GU119" s="58"/>
      <c r="GV119" s="58"/>
      <c r="GW119" s="58"/>
      <c r="GX119" s="58"/>
      <c r="GY119" s="58"/>
      <c r="GZ119" s="58"/>
      <c r="HA119" s="58"/>
      <c r="HB119" s="58"/>
      <c r="HC119" s="58"/>
      <c r="HD119" s="58"/>
      <c r="HE119" s="58"/>
      <c r="HF119" s="58"/>
      <c r="HG119" s="58"/>
      <c r="HH119" s="58"/>
      <c r="HI119" s="58"/>
      <c r="HJ119" s="58"/>
      <c r="HK119" s="58"/>
      <c r="HL119" s="58"/>
      <c r="HM119" s="58"/>
      <c r="HN119" s="58"/>
      <c r="HO119" s="58"/>
      <c r="HP119" s="58"/>
      <c r="HQ119" s="58"/>
      <c r="HR119" s="58"/>
    </row>
    <row r="120" spans="1:226" s="30" customFormat="1" hidden="1" x14ac:dyDescent="0.3">
      <c r="A120" s="141"/>
      <c r="B120" s="141"/>
      <c r="C120" s="141"/>
      <c r="E120" s="58"/>
      <c r="F120" s="58"/>
      <c r="G120" s="58"/>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DT120" s="58"/>
      <c r="DU120" s="58"/>
      <c r="DV120" s="58"/>
      <c r="DW120" s="58"/>
      <c r="DX120" s="58"/>
      <c r="DY120" s="58"/>
      <c r="DZ120" s="58"/>
      <c r="EA120" s="58"/>
      <c r="EB120" s="58"/>
      <c r="EC120" s="58"/>
      <c r="ED120" s="58"/>
      <c r="EE120" s="58"/>
      <c r="EF120" s="58"/>
      <c r="EG120" s="58"/>
      <c r="EH120" s="58"/>
      <c r="EI120" s="58"/>
      <c r="EJ120" s="58"/>
      <c r="EK120" s="58"/>
      <c r="EL120" s="58"/>
      <c r="EM120" s="58"/>
      <c r="EN120" s="58"/>
      <c r="EO120" s="58"/>
      <c r="EP120" s="58"/>
      <c r="EQ120" s="58"/>
      <c r="ER120" s="58"/>
      <c r="ES120" s="58"/>
      <c r="ET120" s="58"/>
      <c r="EU120" s="58"/>
      <c r="EV120" s="58"/>
      <c r="EW120" s="58"/>
      <c r="EX120" s="58"/>
      <c r="EY120" s="58"/>
      <c r="EZ120" s="58"/>
      <c r="FA120" s="58"/>
      <c r="FB120" s="58"/>
      <c r="FC120" s="58"/>
      <c r="FD120" s="58"/>
      <c r="FE120" s="58"/>
      <c r="FF120" s="58"/>
      <c r="FG120" s="58"/>
      <c r="FH120" s="58"/>
      <c r="FI120" s="58"/>
      <c r="FJ120" s="58"/>
      <c r="FK120" s="58"/>
      <c r="FL120" s="58"/>
      <c r="FM120" s="58"/>
      <c r="FN120" s="58"/>
      <c r="FO120" s="58"/>
      <c r="FP120" s="58"/>
      <c r="FQ120" s="58"/>
      <c r="FR120" s="58"/>
      <c r="FS120" s="58"/>
      <c r="FT120" s="58"/>
      <c r="FU120" s="58"/>
      <c r="FV120" s="58"/>
      <c r="FW120" s="58"/>
      <c r="FX120" s="58"/>
      <c r="FY120" s="58"/>
      <c r="FZ120" s="58"/>
      <c r="GA120" s="58"/>
      <c r="GB120" s="58"/>
      <c r="GC120" s="58"/>
      <c r="GD120" s="58"/>
      <c r="GE120" s="58"/>
      <c r="GF120" s="58"/>
      <c r="GG120" s="58"/>
      <c r="GH120" s="58"/>
      <c r="GI120" s="58"/>
      <c r="GJ120" s="58"/>
      <c r="GK120" s="58"/>
      <c r="GL120" s="58"/>
      <c r="GM120" s="58"/>
      <c r="GN120" s="58"/>
      <c r="GO120" s="58"/>
      <c r="GP120" s="58"/>
      <c r="GQ120" s="58"/>
      <c r="GR120" s="58"/>
      <c r="GS120" s="58"/>
      <c r="GT120" s="58"/>
      <c r="GU120" s="58"/>
      <c r="GV120" s="58"/>
      <c r="GW120" s="58"/>
      <c r="GX120" s="58"/>
      <c r="GY120" s="58"/>
      <c r="GZ120" s="58"/>
      <c r="HA120" s="58"/>
      <c r="HB120" s="58"/>
      <c r="HC120" s="58"/>
      <c r="HD120" s="58"/>
      <c r="HE120" s="58"/>
      <c r="HF120" s="58"/>
      <c r="HG120" s="58"/>
      <c r="HH120" s="58"/>
      <c r="HI120" s="58"/>
      <c r="HJ120" s="58"/>
      <c r="HK120" s="58"/>
      <c r="HL120" s="58"/>
      <c r="HM120" s="58"/>
      <c r="HN120" s="58"/>
      <c r="HO120" s="58"/>
      <c r="HP120" s="58"/>
      <c r="HQ120" s="58"/>
      <c r="HR120" s="58"/>
    </row>
    <row r="121" spans="1:226" s="30" customFormat="1" hidden="1" x14ac:dyDescent="0.3">
      <c r="A121" s="141"/>
      <c r="B121" s="141"/>
      <c r="C121" s="141"/>
      <c r="E121" s="58"/>
      <c r="F121" s="58"/>
      <c r="G121" s="58"/>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FC121" s="58"/>
      <c r="FD121" s="58"/>
      <c r="FE121" s="58"/>
      <c r="FF121" s="58"/>
      <c r="FG121" s="58"/>
      <c r="FH121" s="58"/>
      <c r="FI121" s="58"/>
      <c r="FJ121" s="58"/>
      <c r="FK121" s="58"/>
      <c r="FL121" s="58"/>
      <c r="FM121" s="58"/>
      <c r="FN121" s="58"/>
      <c r="FO121" s="58"/>
      <c r="FP121" s="58"/>
      <c r="FQ121" s="58"/>
      <c r="FR121" s="58"/>
      <c r="FS121" s="58"/>
      <c r="FT121" s="58"/>
      <c r="FU121" s="58"/>
      <c r="FV121" s="58"/>
      <c r="FW121" s="58"/>
      <c r="FX121" s="58"/>
      <c r="FY121" s="58"/>
      <c r="FZ121" s="58"/>
      <c r="GA121" s="58"/>
      <c r="GB121" s="58"/>
      <c r="GC121" s="58"/>
      <c r="GD121" s="58"/>
      <c r="GE121" s="58"/>
      <c r="GF121" s="58"/>
      <c r="GG121" s="58"/>
      <c r="GH121" s="58"/>
      <c r="GI121" s="58"/>
      <c r="GJ121" s="58"/>
      <c r="GK121" s="58"/>
      <c r="GL121" s="58"/>
      <c r="GM121" s="58"/>
      <c r="GN121" s="58"/>
      <c r="GO121" s="58"/>
      <c r="GP121" s="58"/>
      <c r="GQ121" s="58"/>
      <c r="GR121" s="58"/>
      <c r="GS121" s="58"/>
      <c r="GT121" s="58"/>
      <c r="GU121" s="58"/>
      <c r="GV121" s="58"/>
      <c r="GW121" s="58"/>
      <c r="GX121" s="58"/>
      <c r="GY121" s="58"/>
      <c r="GZ121" s="58"/>
      <c r="HA121" s="58"/>
      <c r="HB121" s="58"/>
      <c r="HC121" s="58"/>
      <c r="HD121" s="58"/>
      <c r="HE121" s="58"/>
      <c r="HF121" s="58"/>
      <c r="HG121" s="58"/>
      <c r="HH121" s="58"/>
      <c r="HI121" s="58"/>
      <c r="HJ121" s="58"/>
      <c r="HK121" s="58"/>
      <c r="HL121" s="58"/>
      <c r="HM121" s="58"/>
      <c r="HN121" s="58"/>
      <c r="HO121" s="58"/>
      <c r="HP121" s="58"/>
      <c r="HQ121" s="58"/>
      <c r="HR121" s="58"/>
    </row>
    <row r="122" spans="1:226" s="30" customFormat="1" hidden="1" x14ac:dyDescent="0.3">
      <c r="A122" s="141"/>
      <c r="B122" s="141"/>
      <c r="C122" s="141"/>
      <c r="E122" s="58"/>
      <c r="F122" s="58"/>
      <c r="G122" s="58"/>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FC122" s="58"/>
      <c r="FD122" s="58"/>
      <c r="FE122" s="58"/>
      <c r="FF122" s="58"/>
      <c r="FG122" s="58"/>
      <c r="FH122" s="58"/>
      <c r="FI122" s="58"/>
      <c r="FJ122" s="58"/>
      <c r="FK122" s="58"/>
      <c r="FL122" s="58"/>
      <c r="FM122" s="58"/>
      <c r="FN122" s="58"/>
      <c r="FO122" s="58"/>
      <c r="FP122" s="58"/>
      <c r="FQ122" s="58"/>
      <c r="FR122" s="58"/>
      <c r="FS122" s="58"/>
      <c r="FT122" s="58"/>
      <c r="FU122" s="58"/>
      <c r="FV122" s="58"/>
      <c r="FW122" s="58"/>
      <c r="FX122" s="58"/>
      <c r="FY122" s="58"/>
      <c r="FZ122" s="58"/>
      <c r="GA122" s="58"/>
      <c r="GB122" s="58"/>
      <c r="GC122" s="58"/>
      <c r="GD122" s="58"/>
      <c r="GE122" s="58"/>
      <c r="GF122" s="58"/>
      <c r="GG122" s="58"/>
      <c r="GH122" s="58"/>
      <c r="GI122" s="58"/>
      <c r="GJ122" s="58"/>
      <c r="GK122" s="58"/>
      <c r="GL122" s="58"/>
      <c r="GM122" s="58"/>
      <c r="GN122" s="58"/>
      <c r="GO122" s="58"/>
      <c r="GP122" s="58"/>
      <c r="GQ122" s="58"/>
      <c r="GR122" s="58"/>
      <c r="GS122" s="58"/>
      <c r="GT122" s="58"/>
      <c r="GU122" s="58"/>
      <c r="GV122" s="58"/>
      <c r="GW122" s="58"/>
      <c r="GX122" s="58"/>
      <c r="GY122" s="58"/>
      <c r="GZ122" s="58"/>
      <c r="HA122" s="58"/>
      <c r="HB122" s="58"/>
      <c r="HC122" s="58"/>
      <c r="HD122" s="58"/>
      <c r="HE122" s="58"/>
      <c r="HF122" s="58"/>
      <c r="HG122" s="58"/>
      <c r="HH122" s="58"/>
      <c r="HI122" s="58"/>
      <c r="HJ122" s="58"/>
      <c r="HK122" s="58"/>
      <c r="HL122" s="58"/>
      <c r="HM122" s="58"/>
      <c r="HN122" s="58"/>
      <c r="HO122" s="58"/>
      <c r="HP122" s="58"/>
      <c r="HQ122" s="58"/>
      <c r="HR122" s="58"/>
    </row>
    <row r="123" spans="1:226" s="30" customFormat="1" hidden="1" x14ac:dyDescent="0.3">
      <c r="A123" s="141"/>
      <c r="B123" s="141"/>
      <c r="C123" s="141"/>
      <c r="E123" s="58"/>
      <c r="F123" s="58"/>
      <c r="G123" s="58"/>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FC123" s="58"/>
      <c r="FD123" s="58"/>
      <c r="FE123" s="58"/>
      <c r="FF123" s="58"/>
      <c r="FG123" s="58"/>
      <c r="FH123" s="58"/>
      <c r="FI123" s="58"/>
      <c r="FJ123" s="58"/>
      <c r="FK123" s="58"/>
      <c r="FL123" s="58"/>
      <c r="FM123" s="58"/>
      <c r="FN123" s="58"/>
      <c r="FO123" s="58"/>
      <c r="FP123" s="58"/>
      <c r="FQ123" s="58"/>
      <c r="FR123" s="58"/>
      <c r="FS123" s="58"/>
      <c r="FT123" s="58"/>
      <c r="FU123" s="58"/>
      <c r="FV123" s="58"/>
      <c r="FW123" s="58"/>
      <c r="FX123" s="58"/>
      <c r="FY123" s="58"/>
      <c r="FZ123" s="58"/>
      <c r="GA123" s="58"/>
      <c r="GB123" s="58"/>
      <c r="GC123" s="58"/>
      <c r="GD123" s="58"/>
      <c r="GE123" s="58"/>
      <c r="GF123" s="58"/>
      <c r="GG123" s="58"/>
      <c r="GH123" s="58"/>
      <c r="GI123" s="58"/>
      <c r="GJ123" s="58"/>
      <c r="GK123" s="58"/>
      <c r="GL123" s="58"/>
      <c r="GM123" s="58"/>
      <c r="GN123" s="58"/>
      <c r="GO123" s="58"/>
      <c r="GP123" s="58"/>
      <c r="GQ123" s="58"/>
      <c r="GR123" s="58"/>
      <c r="GS123" s="58"/>
      <c r="GT123" s="58"/>
      <c r="GU123" s="58"/>
      <c r="GV123" s="58"/>
      <c r="GW123" s="58"/>
      <c r="GX123" s="58"/>
      <c r="GY123" s="58"/>
      <c r="GZ123" s="58"/>
      <c r="HA123" s="58"/>
      <c r="HB123" s="58"/>
      <c r="HC123" s="58"/>
      <c r="HD123" s="58"/>
      <c r="HE123" s="58"/>
      <c r="HF123" s="58"/>
      <c r="HG123" s="58"/>
      <c r="HH123" s="58"/>
      <c r="HI123" s="58"/>
      <c r="HJ123" s="58"/>
      <c r="HK123" s="58"/>
      <c r="HL123" s="58"/>
      <c r="HM123" s="58"/>
      <c r="HN123" s="58"/>
      <c r="HO123" s="58"/>
      <c r="HP123" s="58"/>
      <c r="HQ123" s="58"/>
      <c r="HR123" s="58"/>
    </row>
    <row r="124" spans="1:226" s="30" customFormat="1" hidden="1" x14ac:dyDescent="0.3">
      <c r="A124" s="141"/>
      <c r="B124" s="141"/>
      <c r="C124" s="141"/>
      <c r="E124" s="58"/>
      <c r="F124" s="58"/>
      <c r="G124" s="58"/>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DT124" s="58"/>
      <c r="DU124" s="58"/>
      <c r="DV124" s="58"/>
      <c r="DW124" s="58"/>
      <c r="DX124" s="58"/>
      <c r="DY124" s="58"/>
      <c r="DZ124" s="58"/>
      <c r="EA124" s="58"/>
      <c r="EB124" s="58"/>
      <c r="EC124" s="58"/>
      <c r="ED124" s="58"/>
      <c r="EE124" s="58"/>
      <c r="EF124" s="58"/>
      <c r="EG124" s="58"/>
      <c r="EH124" s="58"/>
      <c r="EI124" s="58"/>
      <c r="EJ124" s="58"/>
      <c r="EK124" s="58"/>
      <c r="EL124" s="58"/>
      <c r="EM124" s="58"/>
      <c r="EN124" s="58"/>
      <c r="EO124" s="58"/>
      <c r="EP124" s="58"/>
      <c r="EQ124" s="58"/>
      <c r="ER124" s="58"/>
      <c r="ES124" s="58"/>
      <c r="ET124" s="58"/>
      <c r="EU124" s="58"/>
      <c r="EV124" s="58"/>
      <c r="EW124" s="58"/>
      <c r="EX124" s="58"/>
      <c r="EY124" s="58"/>
      <c r="EZ124" s="58"/>
      <c r="FA124" s="58"/>
      <c r="FB124" s="58"/>
      <c r="FC124" s="58"/>
      <c r="FD124" s="58"/>
      <c r="FE124" s="58"/>
      <c r="FF124" s="58"/>
      <c r="FG124" s="58"/>
      <c r="FH124" s="58"/>
      <c r="FI124" s="58"/>
      <c r="FJ124" s="58"/>
      <c r="FK124" s="58"/>
      <c r="FL124" s="58"/>
      <c r="FM124" s="58"/>
      <c r="FN124" s="58"/>
      <c r="FO124" s="58"/>
      <c r="FP124" s="58"/>
      <c r="FQ124" s="58"/>
      <c r="FR124" s="58"/>
      <c r="FS124" s="58"/>
      <c r="FT124" s="58"/>
      <c r="FU124" s="58"/>
      <c r="FV124" s="58"/>
      <c r="FW124" s="58"/>
      <c r="FX124" s="58"/>
      <c r="FY124" s="58"/>
      <c r="FZ124" s="58"/>
      <c r="GA124" s="58"/>
      <c r="GB124" s="58"/>
      <c r="GC124" s="58"/>
      <c r="GD124" s="58"/>
      <c r="GE124" s="58"/>
      <c r="GF124" s="58"/>
      <c r="GG124" s="58"/>
      <c r="GH124" s="58"/>
      <c r="GI124" s="58"/>
      <c r="GJ124" s="58"/>
      <c r="GK124" s="58"/>
      <c r="GL124" s="58"/>
      <c r="GM124" s="58"/>
      <c r="GN124" s="58"/>
      <c r="GO124" s="58"/>
      <c r="GP124" s="58"/>
      <c r="GQ124" s="58"/>
      <c r="GR124" s="58"/>
      <c r="GS124" s="58"/>
      <c r="GT124" s="58"/>
      <c r="GU124" s="58"/>
      <c r="GV124" s="58"/>
      <c r="GW124" s="58"/>
      <c r="GX124" s="58"/>
      <c r="GY124" s="58"/>
      <c r="GZ124" s="58"/>
      <c r="HA124" s="58"/>
      <c r="HB124" s="58"/>
      <c r="HC124" s="58"/>
      <c r="HD124" s="58"/>
      <c r="HE124" s="58"/>
      <c r="HF124" s="58"/>
      <c r="HG124" s="58"/>
      <c r="HH124" s="58"/>
      <c r="HI124" s="58"/>
      <c r="HJ124" s="58"/>
      <c r="HK124" s="58"/>
      <c r="HL124" s="58"/>
      <c r="HM124" s="58"/>
      <c r="HN124" s="58"/>
      <c r="HO124" s="58"/>
      <c r="HP124" s="58"/>
      <c r="HQ124" s="58"/>
      <c r="HR124" s="58"/>
    </row>
    <row r="125" spans="1:226" s="30" customFormat="1" hidden="1" x14ac:dyDescent="0.3">
      <c r="A125" s="141"/>
      <c r="B125" s="141"/>
      <c r="C125" s="141"/>
      <c r="E125" s="58"/>
      <c r="F125" s="58"/>
      <c r="G125" s="58"/>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FC125" s="58"/>
      <c r="FD125" s="58"/>
      <c r="FE125" s="58"/>
      <c r="FF125" s="58"/>
      <c r="FG125" s="58"/>
      <c r="FH125" s="58"/>
      <c r="FI125" s="58"/>
      <c r="FJ125" s="58"/>
      <c r="FK125" s="58"/>
      <c r="FL125" s="58"/>
      <c r="FM125" s="58"/>
      <c r="FN125" s="58"/>
      <c r="FO125" s="58"/>
      <c r="FP125" s="58"/>
      <c r="FQ125" s="58"/>
      <c r="FR125" s="58"/>
      <c r="FS125" s="58"/>
      <c r="FT125" s="58"/>
      <c r="FU125" s="58"/>
      <c r="FV125" s="58"/>
      <c r="FW125" s="58"/>
      <c r="FX125" s="58"/>
      <c r="FY125" s="58"/>
      <c r="FZ125" s="58"/>
      <c r="GA125" s="58"/>
      <c r="GB125" s="58"/>
      <c r="GC125" s="58"/>
      <c r="GD125" s="58"/>
      <c r="GE125" s="58"/>
      <c r="GF125" s="58"/>
      <c r="GG125" s="58"/>
      <c r="GH125" s="58"/>
      <c r="GI125" s="58"/>
      <c r="GJ125" s="58"/>
      <c r="GK125" s="58"/>
      <c r="GL125" s="58"/>
      <c r="GM125" s="58"/>
      <c r="GN125" s="58"/>
      <c r="GO125" s="58"/>
      <c r="GP125" s="58"/>
      <c r="GQ125" s="58"/>
      <c r="GR125" s="58"/>
      <c r="GS125" s="58"/>
      <c r="GT125" s="58"/>
      <c r="GU125" s="58"/>
      <c r="GV125" s="58"/>
      <c r="GW125" s="58"/>
      <c r="GX125" s="58"/>
      <c r="GY125" s="58"/>
      <c r="GZ125" s="58"/>
      <c r="HA125" s="58"/>
      <c r="HB125" s="58"/>
      <c r="HC125" s="58"/>
      <c r="HD125" s="58"/>
      <c r="HE125" s="58"/>
      <c r="HF125" s="58"/>
      <c r="HG125" s="58"/>
      <c r="HH125" s="58"/>
      <c r="HI125" s="58"/>
      <c r="HJ125" s="58"/>
      <c r="HK125" s="58"/>
      <c r="HL125" s="58"/>
      <c r="HM125" s="58"/>
      <c r="HN125" s="58"/>
      <c r="HO125" s="58"/>
      <c r="HP125" s="58"/>
      <c r="HQ125" s="58"/>
      <c r="HR125" s="58"/>
    </row>
    <row r="126" spans="1:226" s="30" customFormat="1" hidden="1" x14ac:dyDescent="0.3">
      <c r="A126" s="141"/>
      <c r="B126" s="141"/>
      <c r="C126" s="141"/>
      <c r="E126" s="58"/>
      <c r="F126" s="58"/>
      <c r="G126" s="58"/>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DT126" s="58"/>
      <c r="DU126" s="58"/>
      <c r="DV126" s="58"/>
      <c r="DW126" s="58"/>
      <c r="DX126" s="58"/>
      <c r="DY126" s="58"/>
      <c r="DZ126" s="58"/>
      <c r="EA126" s="58"/>
      <c r="EB126" s="58"/>
      <c r="EC126" s="58"/>
      <c r="ED126" s="58"/>
      <c r="EE126" s="58"/>
      <c r="EF126" s="58"/>
      <c r="EG126" s="58"/>
      <c r="EH126" s="58"/>
      <c r="EI126" s="58"/>
      <c r="EJ126" s="58"/>
      <c r="EK126" s="58"/>
      <c r="EL126" s="58"/>
      <c r="EM126" s="58"/>
      <c r="EN126" s="58"/>
      <c r="EO126" s="58"/>
      <c r="EP126" s="58"/>
      <c r="EQ126" s="58"/>
      <c r="ER126" s="58"/>
      <c r="ES126" s="58"/>
      <c r="ET126" s="58"/>
      <c r="EU126" s="58"/>
      <c r="EV126" s="58"/>
      <c r="EW126" s="58"/>
      <c r="EX126" s="58"/>
      <c r="EY126" s="58"/>
      <c r="EZ126" s="58"/>
      <c r="FA126" s="58"/>
      <c r="FB126" s="58"/>
      <c r="FC126" s="58"/>
      <c r="FD126" s="58"/>
      <c r="FE126" s="58"/>
      <c r="FF126" s="58"/>
      <c r="FG126" s="58"/>
      <c r="FH126" s="58"/>
      <c r="FI126" s="58"/>
      <c r="FJ126" s="58"/>
      <c r="FK126" s="58"/>
      <c r="FL126" s="58"/>
      <c r="FM126" s="58"/>
      <c r="FN126" s="58"/>
      <c r="FO126" s="58"/>
      <c r="FP126" s="58"/>
      <c r="FQ126" s="58"/>
      <c r="FR126" s="58"/>
      <c r="FS126" s="58"/>
      <c r="FT126" s="58"/>
      <c r="FU126" s="58"/>
      <c r="FV126" s="58"/>
      <c r="FW126" s="58"/>
      <c r="FX126" s="58"/>
      <c r="FY126" s="58"/>
      <c r="FZ126" s="58"/>
      <c r="GA126" s="58"/>
      <c r="GB126" s="58"/>
      <c r="GC126" s="58"/>
      <c r="GD126" s="58"/>
      <c r="GE126" s="58"/>
      <c r="GF126" s="58"/>
      <c r="GG126" s="58"/>
      <c r="GH126" s="58"/>
      <c r="GI126" s="58"/>
      <c r="GJ126" s="58"/>
      <c r="GK126" s="58"/>
      <c r="GL126" s="58"/>
      <c r="GM126" s="58"/>
      <c r="GN126" s="58"/>
      <c r="GO126" s="58"/>
      <c r="GP126" s="58"/>
      <c r="GQ126" s="58"/>
      <c r="GR126" s="58"/>
      <c r="GS126" s="58"/>
      <c r="GT126" s="58"/>
      <c r="GU126" s="58"/>
      <c r="GV126" s="58"/>
      <c r="GW126" s="58"/>
      <c r="GX126" s="58"/>
      <c r="GY126" s="58"/>
      <c r="GZ126" s="58"/>
      <c r="HA126" s="58"/>
      <c r="HB126" s="58"/>
      <c r="HC126" s="58"/>
      <c r="HD126" s="58"/>
      <c r="HE126" s="58"/>
      <c r="HF126" s="58"/>
      <c r="HG126" s="58"/>
      <c r="HH126" s="58"/>
      <c r="HI126" s="58"/>
      <c r="HJ126" s="58"/>
      <c r="HK126" s="58"/>
      <c r="HL126" s="58"/>
      <c r="HM126" s="58"/>
      <c r="HN126" s="58"/>
      <c r="HO126" s="58"/>
      <c r="HP126" s="58"/>
      <c r="HQ126" s="58"/>
      <c r="HR126" s="58"/>
    </row>
    <row r="127" spans="1:226" s="30" customFormat="1" hidden="1" x14ac:dyDescent="0.3">
      <c r="A127" s="141"/>
      <c r="B127" s="141"/>
      <c r="C127" s="141"/>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FC127" s="58"/>
      <c r="FD127" s="58"/>
      <c r="FE127" s="58"/>
      <c r="FF127" s="58"/>
      <c r="FG127" s="58"/>
      <c r="FH127" s="58"/>
      <c r="FI127" s="58"/>
      <c r="FJ127" s="58"/>
      <c r="FK127" s="58"/>
      <c r="FL127" s="58"/>
      <c r="FM127" s="58"/>
      <c r="FN127" s="58"/>
      <c r="FO127" s="58"/>
      <c r="FP127" s="58"/>
      <c r="FQ127" s="58"/>
      <c r="FR127" s="58"/>
      <c r="FS127" s="58"/>
      <c r="FT127" s="58"/>
      <c r="FU127" s="58"/>
      <c r="FV127" s="58"/>
      <c r="FW127" s="58"/>
      <c r="FX127" s="58"/>
      <c r="FY127" s="58"/>
      <c r="FZ127" s="58"/>
      <c r="GA127" s="58"/>
      <c r="GB127" s="58"/>
      <c r="GC127" s="58"/>
      <c r="GD127" s="58"/>
      <c r="GE127" s="58"/>
      <c r="GF127" s="58"/>
      <c r="GG127" s="58"/>
      <c r="GH127" s="58"/>
      <c r="GI127" s="58"/>
      <c r="GJ127" s="58"/>
      <c r="GK127" s="58"/>
      <c r="GL127" s="58"/>
      <c r="GM127" s="58"/>
      <c r="GN127" s="58"/>
      <c r="GO127" s="58"/>
      <c r="GP127" s="58"/>
      <c r="GQ127" s="58"/>
      <c r="GR127" s="58"/>
      <c r="GS127" s="58"/>
      <c r="GT127" s="58"/>
      <c r="GU127" s="58"/>
      <c r="GV127" s="58"/>
      <c r="GW127" s="58"/>
      <c r="GX127" s="58"/>
      <c r="GY127" s="58"/>
      <c r="GZ127" s="58"/>
      <c r="HA127" s="58"/>
      <c r="HB127" s="58"/>
      <c r="HC127" s="58"/>
      <c r="HD127" s="58"/>
      <c r="HE127" s="58"/>
      <c r="HF127" s="58"/>
      <c r="HG127" s="58"/>
      <c r="HH127" s="58"/>
      <c r="HI127" s="58"/>
      <c r="HJ127" s="58"/>
      <c r="HK127" s="58"/>
      <c r="HL127" s="58"/>
      <c r="HM127" s="58"/>
      <c r="HN127" s="58"/>
      <c r="HO127" s="58"/>
      <c r="HP127" s="58"/>
      <c r="HQ127" s="58"/>
      <c r="HR127" s="58"/>
    </row>
    <row r="128" spans="1:226" s="30" customFormat="1" hidden="1" x14ac:dyDescent="0.3">
      <c r="A128" s="141"/>
      <c r="B128" s="141"/>
      <c r="C128" s="141"/>
      <c r="E128" s="58"/>
      <c r="F128" s="58"/>
      <c r="G128" s="58"/>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CS128" s="58"/>
      <c r="CT128" s="58"/>
      <c r="CU128" s="58"/>
      <c r="CV128" s="58"/>
      <c r="CW128" s="58"/>
      <c r="CX128" s="58"/>
      <c r="CY128" s="58"/>
      <c r="CZ128" s="58"/>
      <c r="DA128" s="58"/>
      <c r="DB128" s="58"/>
      <c r="DC128" s="58"/>
      <c r="DD128" s="58"/>
      <c r="DE128" s="58"/>
      <c r="DF128" s="58"/>
      <c r="DG128" s="58"/>
      <c r="DH128" s="58"/>
      <c r="DI128" s="58"/>
      <c r="DJ128" s="58"/>
      <c r="DK128" s="58"/>
      <c r="DL128" s="58"/>
      <c r="DM128" s="58"/>
      <c r="DN128" s="58"/>
      <c r="DO128" s="58"/>
      <c r="DP128" s="58"/>
      <c r="DQ128" s="58"/>
      <c r="DR128" s="58"/>
      <c r="DS128" s="58"/>
      <c r="DT128" s="58"/>
      <c r="DU128" s="58"/>
      <c r="DV128" s="58"/>
      <c r="DW128" s="58"/>
      <c r="DX128" s="58"/>
      <c r="DY128" s="58"/>
      <c r="DZ128" s="58"/>
      <c r="EA128" s="58"/>
      <c r="EB128" s="58"/>
      <c r="EC128" s="58"/>
      <c r="ED128" s="58"/>
      <c r="EE128" s="58"/>
      <c r="EF128" s="58"/>
      <c r="EG128" s="58"/>
      <c r="EH128" s="58"/>
      <c r="EI128" s="58"/>
      <c r="EJ128" s="58"/>
      <c r="EK128" s="58"/>
      <c r="EL128" s="58"/>
      <c r="EM128" s="58"/>
      <c r="EN128" s="58"/>
      <c r="EO128" s="58"/>
      <c r="EP128" s="58"/>
      <c r="EQ128" s="58"/>
      <c r="ER128" s="58"/>
      <c r="ES128" s="58"/>
      <c r="ET128" s="58"/>
      <c r="EU128" s="58"/>
      <c r="EV128" s="58"/>
      <c r="EW128" s="58"/>
      <c r="EX128" s="58"/>
      <c r="EY128" s="58"/>
      <c r="EZ128" s="58"/>
      <c r="FA128" s="58"/>
      <c r="FB128" s="58"/>
      <c r="FC128" s="58"/>
      <c r="FD128" s="58"/>
      <c r="FE128" s="58"/>
      <c r="FF128" s="58"/>
      <c r="FG128" s="58"/>
      <c r="FH128" s="58"/>
      <c r="FI128" s="58"/>
      <c r="FJ128" s="58"/>
      <c r="FK128" s="58"/>
      <c r="FL128" s="58"/>
      <c r="FM128" s="58"/>
      <c r="FN128" s="58"/>
      <c r="FO128" s="58"/>
      <c r="FP128" s="58"/>
      <c r="FQ128" s="58"/>
      <c r="FR128" s="58"/>
      <c r="FS128" s="58"/>
      <c r="FT128" s="58"/>
      <c r="FU128" s="58"/>
      <c r="FV128" s="58"/>
      <c r="FW128" s="58"/>
      <c r="FX128" s="58"/>
      <c r="FY128" s="58"/>
      <c r="FZ128" s="58"/>
      <c r="GA128" s="58"/>
      <c r="GB128" s="58"/>
      <c r="GC128" s="58"/>
      <c r="GD128" s="58"/>
      <c r="GE128" s="58"/>
      <c r="GF128" s="58"/>
      <c r="GG128" s="58"/>
      <c r="GH128" s="58"/>
      <c r="GI128" s="58"/>
      <c r="GJ128" s="58"/>
      <c r="GK128" s="58"/>
      <c r="GL128" s="58"/>
      <c r="GM128" s="58"/>
      <c r="GN128" s="58"/>
      <c r="GO128" s="58"/>
      <c r="GP128" s="58"/>
      <c r="GQ128" s="58"/>
      <c r="GR128" s="58"/>
      <c r="GS128" s="58"/>
      <c r="GT128" s="58"/>
      <c r="GU128" s="58"/>
      <c r="GV128" s="58"/>
      <c r="GW128" s="58"/>
      <c r="GX128" s="58"/>
      <c r="GY128" s="58"/>
      <c r="GZ128" s="58"/>
      <c r="HA128" s="58"/>
      <c r="HB128" s="58"/>
      <c r="HC128" s="58"/>
      <c r="HD128" s="58"/>
      <c r="HE128" s="58"/>
      <c r="HF128" s="58"/>
      <c r="HG128" s="58"/>
      <c r="HH128" s="58"/>
      <c r="HI128" s="58"/>
      <c r="HJ128" s="58"/>
      <c r="HK128" s="58"/>
      <c r="HL128" s="58"/>
      <c r="HM128" s="58"/>
      <c r="HN128" s="58"/>
      <c r="HO128" s="58"/>
      <c r="HP128" s="58"/>
      <c r="HQ128" s="58"/>
      <c r="HR128" s="58"/>
    </row>
    <row r="129" spans="1:226" s="30" customFormat="1" hidden="1" x14ac:dyDescent="0.3">
      <c r="A129" s="141"/>
      <c r="B129" s="141"/>
      <c r="C129" s="141"/>
      <c r="E129" s="58"/>
      <c r="F129" s="58"/>
      <c r="G129" s="58"/>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FC129" s="58"/>
      <c r="FD129" s="58"/>
      <c r="FE129" s="58"/>
      <c r="FF129" s="58"/>
      <c r="FG129" s="58"/>
      <c r="FH129" s="58"/>
      <c r="FI129" s="58"/>
      <c r="FJ129" s="58"/>
      <c r="FK129" s="58"/>
      <c r="FL129" s="58"/>
      <c r="FM129" s="58"/>
      <c r="FN129" s="58"/>
      <c r="FO129" s="58"/>
      <c r="FP129" s="58"/>
      <c r="FQ129" s="58"/>
      <c r="FR129" s="58"/>
      <c r="FS129" s="58"/>
      <c r="FT129" s="58"/>
      <c r="FU129" s="58"/>
      <c r="FV129" s="58"/>
      <c r="FW129" s="58"/>
      <c r="FX129" s="58"/>
      <c r="FY129" s="58"/>
      <c r="FZ129" s="58"/>
      <c r="GA129" s="58"/>
      <c r="GB129" s="58"/>
      <c r="GC129" s="58"/>
      <c r="GD129" s="58"/>
      <c r="GE129" s="58"/>
      <c r="GF129" s="58"/>
      <c r="GG129" s="58"/>
      <c r="GH129" s="58"/>
      <c r="GI129" s="58"/>
      <c r="GJ129" s="58"/>
      <c r="GK129" s="58"/>
      <c r="GL129" s="58"/>
      <c r="GM129" s="58"/>
      <c r="GN129" s="58"/>
      <c r="GO129" s="58"/>
      <c r="GP129" s="58"/>
      <c r="GQ129" s="58"/>
      <c r="GR129" s="58"/>
      <c r="GS129" s="58"/>
      <c r="GT129" s="58"/>
      <c r="GU129" s="58"/>
      <c r="GV129" s="58"/>
      <c r="GW129" s="58"/>
      <c r="GX129" s="58"/>
      <c r="GY129" s="58"/>
      <c r="GZ129" s="58"/>
      <c r="HA129" s="58"/>
      <c r="HB129" s="58"/>
      <c r="HC129" s="58"/>
      <c r="HD129" s="58"/>
      <c r="HE129" s="58"/>
      <c r="HF129" s="58"/>
      <c r="HG129" s="58"/>
      <c r="HH129" s="58"/>
      <c r="HI129" s="58"/>
      <c r="HJ129" s="58"/>
      <c r="HK129" s="58"/>
      <c r="HL129" s="58"/>
      <c r="HM129" s="58"/>
      <c r="HN129" s="58"/>
      <c r="HO129" s="58"/>
      <c r="HP129" s="58"/>
      <c r="HQ129" s="58"/>
      <c r="HR129" s="58"/>
    </row>
    <row r="130" spans="1:226" s="30" customFormat="1" hidden="1" x14ac:dyDescent="0.3">
      <c r="A130" s="141"/>
      <c r="B130" s="141"/>
      <c r="C130" s="141"/>
      <c r="E130" s="58"/>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FC130" s="58"/>
      <c r="FD130" s="58"/>
      <c r="FE130" s="58"/>
      <c r="FF130" s="58"/>
      <c r="FG130" s="58"/>
      <c r="FH130" s="58"/>
      <c r="FI130" s="58"/>
      <c r="FJ130" s="58"/>
      <c r="FK130" s="58"/>
      <c r="FL130" s="58"/>
      <c r="FM130" s="58"/>
      <c r="FN130" s="58"/>
      <c r="FO130" s="58"/>
      <c r="FP130" s="58"/>
      <c r="FQ130" s="58"/>
      <c r="FR130" s="58"/>
      <c r="FS130" s="58"/>
      <c r="FT130" s="58"/>
      <c r="FU130" s="58"/>
      <c r="FV130" s="58"/>
      <c r="FW130" s="58"/>
      <c r="FX130" s="58"/>
      <c r="FY130" s="58"/>
      <c r="FZ130" s="58"/>
      <c r="GA130" s="58"/>
      <c r="GB130" s="58"/>
      <c r="GC130" s="58"/>
      <c r="GD130" s="58"/>
      <c r="GE130" s="58"/>
      <c r="GF130" s="58"/>
      <c r="GG130" s="58"/>
      <c r="GH130" s="58"/>
      <c r="GI130" s="58"/>
      <c r="GJ130" s="58"/>
      <c r="GK130" s="58"/>
      <c r="GL130" s="58"/>
      <c r="GM130" s="58"/>
      <c r="GN130" s="58"/>
      <c r="GO130" s="58"/>
      <c r="GP130" s="58"/>
      <c r="GQ130" s="58"/>
      <c r="GR130" s="58"/>
      <c r="GS130" s="58"/>
      <c r="GT130" s="58"/>
      <c r="GU130" s="58"/>
      <c r="GV130" s="58"/>
      <c r="GW130" s="58"/>
      <c r="GX130" s="58"/>
      <c r="GY130" s="58"/>
      <c r="GZ130" s="58"/>
      <c r="HA130" s="58"/>
      <c r="HB130" s="58"/>
      <c r="HC130" s="58"/>
      <c r="HD130" s="58"/>
      <c r="HE130" s="58"/>
      <c r="HF130" s="58"/>
      <c r="HG130" s="58"/>
      <c r="HH130" s="58"/>
      <c r="HI130" s="58"/>
      <c r="HJ130" s="58"/>
      <c r="HK130" s="58"/>
      <c r="HL130" s="58"/>
      <c r="HM130" s="58"/>
      <c r="HN130" s="58"/>
      <c r="HO130" s="58"/>
      <c r="HP130" s="58"/>
      <c r="HQ130" s="58"/>
      <c r="HR130" s="58"/>
    </row>
    <row r="131" spans="1:226" s="30" customFormat="1" hidden="1" x14ac:dyDescent="0.3">
      <c r="A131" s="141"/>
      <c r="B131" s="141"/>
      <c r="C131" s="141"/>
      <c r="E131" s="58"/>
      <c r="F131" s="58"/>
      <c r="G131" s="58"/>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CS131" s="58"/>
      <c r="CT131" s="58"/>
      <c r="CU131" s="58"/>
      <c r="CV131" s="58"/>
      <c r="CW131" s="58"/>
      <c r="CX131" s="58"/>
      <c r="CY131" s="58"/>
      <c r="CZ131" s="58"/>
      <c r="DA131" s="58"/>
      <c r="DB131" s="58"/>
      <c r="DC131" s="58"/>
      <c r="DD131" s="58"/>
      <c r="DE131" s="58"/>
      <c r="DF131" s="58"/>
      <c r="DG131" s="58"/>
      <c r="DH131" s="58"/>
      <c r="DI131" s="58"/>
      <c r="DJ131" s="58"/>
      <c r="DK131" s="58"/>
      <c r="DL131" s="58"/>
      <c r="DM131" s="58"/>
      <c r="DN131" s="58"/>
      <c r="DO131" s="58"/>
      <c r="DP131" s="58"/>
      <c r="DQ131" s="58"/>
      <c r="DR131" s="58"/>
      <c r="DS131" s="58"/>
      <c r="DT131" s="58"/>
      <c r="DU131" s="58"/>
      <c r="DV131" s="58"/>
      <c r="DW131" s="58"/>
      <c r="DX131" s="58"/>
      <c r="DY131" s="58"/>
      <c r="DZ131" s="58"/>
      <c r="EA131" s="58"/>
      <c r="EB131" s="58"/>
      <c r="EC131" s="58"/>
      <c r="ED131" s="58"/>
      <c r="EE131" s="58"/>
      <c r="EF131" s="58"/>
      <c r="EG131" s="58"/>
      <c r="EH131" s="58"/>
      <c r="EI131" s="58"/>
      <c r="EJ131" s="58"/>
      <c r="EK131" s="58"/>
      <c r="EL131" s="58"/>
      <c r="EM131" s="58"/>
      <c r="EN131" s="58"/>
      <c r="EO131" s="58"/>
      <c r="EP131" s="58"/>
      <c r="EQ131" s="58"/>
      <c r="ER131" s="58"/>
      <c r="ES131" s="58"/>
      <c r="ET131" s="58"/>
      <c r="EU131" s="58"/>
      <c r="EV131" s="58"/>
      <c r="EW131" s="58"/>
      <c r="EX131" s="58"/>
      <c r="EY131" s="58"/>
      <c r="EZ131" s="58"/>
      <c r="FA131" s="58"/>
      <c r="FB131" s="58"/>
      <c r="FC131" s="58"/>
      <c r="FD131" s="58"/>
      <c r="FE131" s="58"/>
      <c r="FF131" s="58"/>
      <c r="FG131" s="58"/>
      <c r="FH131" s="58"/>
      <c r="FI131" s="58"/>
      <c r="FJ131" s="58"/>
      <c r="FK131" s="58"/>
      <c r="FL131" s="58"/>
      <c r="FM131" s="58"/>
      <c r="FN131" s="58"/>
      <c r="FO131" s="58"/>
      <c r="FP131" s="58"/>
      <c r="FQ131" s="58"/>
      <c r="FR131" s="58"/>
      <c r="FS131" s="58"/>
      <c r="FT131" s="58"/>
      <c r="FU131" s="58"/>
      <c r="FV131" s="58"/>
      <c r="FW131" s="58"/>
      <c r="FX131" s="58"/>
      <c r="FY131" s="58"/>
      <c r="FZ131" s="58"/>
      <c r="GA131" s="58"/>
      <c r="GB131" s="58"/>
      <c r="GC131" s="58"/>
      <c r="GD131" s="58"/>
      <c r="GE131" s="58"/>
      <c r="GF131" s="58"/>
      <c r="GG131" s="58"/>
      <c r="GH131" s="58"/>
      <c r="GI131" s="58"/>
      <c r="GJ131" s="58"/>
      <c r="GK131" s="58"/>
      <c r="GL131" s="58"/>
      <c r="GM131" s="58"/>
      <c r="GN131" s="58"/>
      <c r="GO131" s="58"/>
      <c r="GP131" s="58"/>
      <c r="GQ131" s="58"/>
      <c r="GR131" s="58"/>
      <c r="GS131" s="58"/>
      <c r="GT131" s="58"/>
      <c r="GU131" s="58"/>
      <c r="GV131" s="58"/>
      <c r="GW131" s="58"/>
      <c r="GX131" s="58"/>
      <c r="GY131" s="58"/>
      <c r="GZ131" s="58"/>
      <c r="HA131" s="58"/>
      <c r="HB131" s="58"/>
      <c r="HC131" s="58"/>
      <c r="HD131" s="58"/>
      <c r="HE131" s="58"/>
      <c r="HF131" s="58"/>
      <c r="HG131" s="58"/>
      <c r="HH131" s="58"/>
      <c r="HI131" s="58"/>
      <c r="HJ131" s="58"/>
      <c r="HK131" s="58"/>
      <c r="HL131" s="58"/>
      <c r="HM131" s="58"/>
      <c r="HN131" s="58"/>
      <c r="HO131" s="58"/>
      <c r="HP131" s="58"/>
      <c r="HQ131" s="58"/>
      <c r="HR131" s="58"/>
    </row>
    <row r="132" spans="1:226" s="30" customFormat="1" hidden="1" x14ac:dyDescent="0.3">
      <c r="A132" s="141"/>
      <c r="B132" s="141"/>
      <c r="C132" s="141"/>
      <c r="E132" s="58"/>
      <c r="F132" s="58"/>
      <c r="G132" s="58"/>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DT132" s="58"/>
      <c r="DU132" s="58"/>
      <c r="DV132" s="58"/>
      <c r="DW132" s="58"/>
      <c r="DX132" s="58"/>
      <c r="DY132" s="58"/>
      <c r="DZ132" s="58"/>
      <c r="EA132" s="58"/>
      <c r="EB132" s="58"/>
      <c r="EC132" s="58"/>
      <c r="ED132" s="58"/>
      <c r="EE132" s="58"/>
      <c r="EF132" s="58"/>
      <c r="EG132" s="58"/>
      <c r="EH132" s="58"/>
      <c r="EI132" s="58"/>
      <c r="EJ132" s="58"/>
      <c r="EK132" s="58"/>
      <c r="EL132" s="58"/>
      <c r="EM132" s="58"/>
      <c r="EN132" s="58"/>
      <c r="EO132" s="58"/>
      <c r="EP132" s="58"/>
      <c r="EQ132" s="58"/>
      <c r="ER132" s="58"/>
      <c r="ES132" s="58"/>
      <c r="ET132" s="58"/>
      <c r="EU132" s="58"/>
      <c r="EV132" s="58"/>
      <c r="EW132" s="58"/>
      <c r="EX132" s="58"/>
      <c r="EY132" s="58"/>
      <c r="EZ132" s="58"/>
      <c r="FA132" s="58"/>
      <c r="FB132" s="58"/>
      <c r="FC132" s="58"/>
      <c r="FD132" s="58"/>
      <c r="FE132" s="58"/>
      <c r="FF132" s="58"/>
      <c r="FG132" s="58"/>
      <c r="FH132" s="58"/>
      <c r="FI132" s="58"/>
      <c r="FJ132" s="58"/>
      <c r="FK132" s="58"/>
      <c r="FL132" s="58"/>
      <c r="FM132" s="58"/>
      <c r="FN132" s="58"/>
      <c r="FO132" s="58"/>
      <c r="FP132" s="58"/>
      <c r="FQ132" s="58"/>
      <c r="FR132" s="58"/>
      <c r="FS132" s="58"/>
      <c r="FT132" s="58"/>
      <c r="FU132" s="58"/>
      <c r="FV132" s="58"/>
      <c r="FW132" s="58"/>
      <c r="FX132" s="58"/>
      <c r="FY132" s="58"/>
      <c r="FZ132" s="58"/>
      <c r="GA132" s="58"/>
      <c r="GB132" s="58"/>
      <c r="GC132" s="58"/>
      <c r="GD132" s="58"/>
      <c r="GE132" s="58"/>
      <c r="GF132" s="58"/>
      <c r="GG132" s="58"/>
      <c r="GH132" s="58"/>
      <c r="GI132" s="58"/>
    </row>
    <row r="133" spans="1:226" s="30" customFormat="1" hidden="1" x14ac:dyDescent="0.3">
      <c r="A133" s="141"/>
      <c r="B133" s="141"/>
      <c r="C133" s="141"/>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row>
    <row r="134" spans="1:226" s="30" customFormat="1" hidden="1" x14ac:dyDescent="0.3">
      <c r="A134" s="141"/>
      <c r="B134" s="141"/>
      <c r="C134" s="141"/>
      <c r="E134" s="58"/>
      <c r="F134" s="58"/>
      <c r="G134" s="58"/>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row>
    <row r="135" spans="1:226" s="30" customFormat="1" hidden="1" x14ac:dyDescent="0.3">
      <c r="A135" s="141"/>
      <c r="B135" s="141"/>
      <c r="C135" s="141"/>
      <c r="E135" s="58"/>
      <c r="F135" s="58"/>
      <c r="G135" s="58"/>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FC135" s="58"/>
      <c r="FD135" s="58"/>
      <c r="FE135" s="58"/>
      <c r="FF135" s="58"/>
      <c r="FG135" s="58"/>
      <c r="FH135" s="58"/>
      <c r="FI135" s="58"/>
      <c r="FJ135" s="58"/>
      <c r="FK135" s="58"/>
      <c r="FL135" s="58"/>
      <c r="FM135" s="58"/>
      <c r="FN135" s="58"/>
      <c r="FO135" s="58"/>
      <c r="FP135" s="58"/>
      <c r="FQ135" s="58"/>
      <c r="FR135" s="58"/>
      <c r="FS135" s="58"/>
      <c r="FT135" s="58"/>
      <c r="FU135" s="58"/>
      <c r="FV135" s="58"/>
      <c r="FW135" s="58"/>
      <c r="FX135" s="58"/>
      <c r="FY135" s="58"/>
      <c r="FZ135" s="58"/>
      <c r="GA135" s="58"/>
      <c r="GB135" s="58"/>
      <c r="GC135" s="58"/>
      <c r="GD135" s="58"/>
      <c r="GE135" s="58"/>
      <c r="GF135" s="58"/>
      <c r="GG135" s="58"/>
      <c r="GH135" s="58"/>
      <c r="GI135" s="58"/>
      <c r="GJ135" s="58"/>
      <c r="GK135" s="58"/>
      <c r="GL135" s="58"/>
      <c r="GM135" s="58"/>
      <c r="GN135" s="58"/>
      <c r="GO135" s="58"/>
      <c r="GP135" s="58"/>
      <c r="GQ135" s="58"/>
      <c r="GR135" s="58"/>
      <c r="GS135" s="58"/>
      <c r="GT135" s="58"/>
      <c r="GU135" s="58"/>
      <c r="GV135" s="58"/>
      <c r="GW135" s="58"/>
      <c r="GX135" s="58"/>
      <c r="GY135" s="58"/>
      <c r="GZ135" s="58"/>
      <c r="HA135" s="58"/>
      <c r="HB135" s="58"/>
      <c r="HC135" s="58"/>
      <c r="HD135" s="58"/>
      <c r="HE135" s="58"/>
      <c r="HF135" s="58"/>
      <c r="HG135" s="58"/>
      <c r="HH135" s="58"/>
      <c r="HI135" s="58"/>
      <c r="HJ135" s="58"/>
      <c r="HK135" s="58"/>
      <c r="HL135" s="58"/>
      <c r="HM135" s="58"/>
      <c r="HN135" s="58"/>
      <c r="HO135" s="58"/>
      <c r="HP135" s="58"/>
      <c r="HQ135" s="58"/>
      <c r="HR135" s="58"/>
    </row>
    <row r="136" spans="1:226" s="30" customFormat="1" hidden="1" x14ac:dyDescent="0.3">
      <c r="A136" s="141"/>
      <c r="B136" s="141"/>
      <c r="C136" s="141"/>
      <c r="E136" s="58"/>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FC136" s="58"/>
      <c r="FD136" s="58"/>
      <c r="FE136" s="58"/>
      <c r="FF136" s="58"/>
      <c r="FG136" s="58"/>
      <c r="FH136" s="58"/>
      <c r="FI136" s="58"/>
      <c r="FJ136" s="58"/>
      <c r="FK136" s="58"/>
      <c r="FL136" s="58"/>
      <c r="FM136" s="58"/>
      <c r="FN136" s="58"/>
      <c r="FO136" s="58"/>
      <c r="FP136" s="58"/>
      <c r="FQ136" s="58"/>
      <c r="FR136" s="58"/>
      <c r="FS136" s="58"/>
      <c r="FT136" s="58"/>
      <c r="FU136" s="58"/>
      <c r="FV136" s="58"/>
      <c r="FW136" s="58"/>
      <c r="FX136" s="58"/>
      <c r="FY136" s="58"/>
      <c r="FZ136" s="58"/>
      <c r="GA136" s="58"/>
      <c r="GB136" s="58"/>
      <c r="GC136" s="58"/>
      <c r="GD136" s="58"/>
      <c r="GE136" s="58"/>
      <c r="GF136" s="58"/>
      <c r="GG136" s="58"/>
      <c r="GH136" s="58"/>
      <c r="GI136" s="58"/>
      <c r="GJ136" s="58"/>
      <c r="GK136" s="58"/>
      <c r="GL136" s="58"/>
      <c r="GM136" s="58"/>
      <c r="GN136" s="58"/>
      <c r="GO136" s="58"/>
      <c r="GP136" s="58"/>
      <c r="GQ136" s="58"/>
      <c r="GR136" s="58"/>
      <c r="GS136" s="58"/>
      <c r="GT136" s="58"/>
      <c r="GU136" s="58"/>
      <c r="GV136" s="58"/>
      <c r="GW136" s="58"/>
      <c r="GX136" s="58"/>
      <c r="GY136" s="58"/>
      <c r="GZ136" s="58"/>
      <c r="HA136" s="58"/>
      <c r="HB136" s="58"/>
      <c r="HC136" s="58"/>
      <c r="HD136" s="58"/>
      <c r="HE136" s="58"/>
      <c r="HF136" s="58"/>
      <c r="HG136" s="58"/>
      <c r="HH136" s="58"/>
      <c r="HI136" s="58"/>
      <c r="HJ136" s="58"/>
      <c r="HK136" s="58"/>
      <c r="HL136" s="58"/>
      <c r="HM136" s="58"/>
      <c r="HN136" s="58"/>
      <c r="HO136" s="58"/>
      <c r="HP136" s="58"/>
      <c r="HQ136" s="58"/>
      <c r="HR136" s="58"/>
    </row>
    <row r="137" spans="1:226" s="30" customFormat="1" hidden="1" x14ac:dyDescent="0.3">
      <c r="A137" s="141"/>
      <c r="B137" s="141"/>
      <c r="C137" s="141"/>
      <c r="E137" s="58"/>
      <c r="F137" s="58"/>
      <c r="G137" s="58"/>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CS137" s="58"/>
      <c r="CT137" s="58"/>
      <c r="CU137" s="58"/>
      <c r="CV137" s="58"/>
      <c r="CW137" s="58"/>
      <c r="CX137" s="58"/>
      <c r="CY137" s="58"/>
      <c r="CZ137" s="58"/>
      <c r="DA137" s="58"/>
      <c r="DB137" s="58"/>
      <c r="DC137" s="58"/>
      <c r="DD137" s="58"/>
      <c r="DE137" s="58"/>
      <c r="DF137" s="58"/>
      <c r="DG137" s="58"/>
      <c r="DH137" s="58"/>
      <c r="DI137" s="58"/>
      <c r="DJ137" s="58"/>
      <c r="DK137" s="58"/>
      <c r="DL137" s="58"/>
      <c r="DM137" s="58"/>
      <c r="DN137" s="58"/>
      <c r="DO137" s="58"/>
      <c r="DP137" s="58"/>
      <c r="DQ137" s="58"/>
      <c r="DR137" s="58"/>
      <c r="DS137" s="58"/>
      <c r="DT137" s="58"/>
      <c r="DU137" s="58"/>
      <c r="DV137" s="58"/>
      <c r="DW137" s="58"/>
      <c r="DX137" s="58"/>
      <c r="DY137" s="58"/>
      <c r="DZ137" s="58"/>
      <c r="EA137" s="58"/>
      <c r="EB137" s="58"/>
      <c r="EC137" s="58"/>
      <c r="ED137" s="58"/>
      <c r="EE137" s="58"/>
      <c r="EF137" s="58"/>
      <c r="EG137" s="58"/>
      <c r="EH137" s="58"/>
      <c r="EI137" s="58"/>
      <c r="EJ137" s="58"/>
      <c r="EK137" s="58"/>
      <c r="EL137" s="58"/>
      <c r="EM137" s="58"/>
      <c r="EN137" s="58"/>
      <c r="EO137" s="58"/>
      <c r="EP137" s="58"/>
      <c r="EQ137" s="58"/>
      <c r="ER137" s="58"/>
      <c r="ES137" s="58"/>
      <c r="ET137" s="58"/>
      <c r="EU137" s="58"/>
      <c r="EV137" s="58"/>
      <c r="EW137" s="58"/>
      <c r="EX137" s="58"/>
      <c r="EY137" s="58"/>
      <c r="EZ137" s="58"/>
      <c r="FA137" s="58"/>
      <c r="FB137" s="58"/>
      <c r="FC137" s="58"/>
      <c r="FD137" s="58"/>
      <c r="FE137" s="58"/>
      <c r="FF137" s="58"/>
      <c r="FG137" s="58"/>
      <c r="FH137" s="58"/>
      <c r="FI137" s="58"/>
      <c r="FJ137" s="58"/>
      <c r="FK137" s="58"/>
      <c r="FL137" s="58"/>
      <c r="FM137" s="58"/>
      <c r="FN137" s="58"/>
      <c r="FO137" s="58"/>
      <c r="FP137" s="58"/>
      <c r="FQ137" s="58"/>
      <c r="FR137" s="58"/>
      <c r="FS137" s="58"/>
      <c r="FT137" s="58"/>
      <c r="FU137" s="58"/>
      <c r="FV137" s="58"/>
      <c r="FW137" s="58"/>
      <c r="FX137" s="58"/>
      <c r="FY137" s="58"/>
      <c r="FZ137" s="58"/>
      <c r="GA137" s="58"/>
      <c r="GB137" s="58"/>
      <c r="GC137" s="58"/>
      <c r="GD137" s="58"/>
      <c r="GE137" s="58"/>
      <c r="GF137" s="58"/>
      <c r="GG137" s="58"/>
      <c r="GH137" s="58"/>
      <c r="GI137" s="58"/>
      <c r="GJ137" s="58"/>
      <c r="GK137" s="58"/>
      <c r="GL137" s="58"/>
      <c r="GM137" s="58"/>
      <c r="GN137" s="58"/>
      <c r="GO137" s="58"/>
      <c r="GP137" s="58"/>
      <c r="GQ137" s="58"/>
      <c r="GR137" s="58"/>
      <c r="GS137" s="58"/>
      <c r="GT137" s="58"/>
      <c r="GU137" s="58"/>
      <c r="GV137" s="58"/>
      <c r="GW137" s="58"/>
      <c r="GX137" s="58"/>
      <c r="GY137" s="58"/>
      <c r="GZ137" s="58"/>
      <c r="HA137" s="58"/>
      <c r="HB137" s="58"/>
      <c r="HC137" s="58"/>
      <c r="HD137" s="58"/>
      <c r="HE137" s="58"/>
      <c r="HF137" s="58"/>
      <c r="HG137" s="58"/>
      <c r="HH137" s="58"/>
      <c r="HI137" s="58"/>
      <c r="HJ137" s="58"/>
      <c r="HK137" s="58"/>
      <c r="HL137" s="58"/>
      <c r="HM137" s="58"/>
      <c r="HN137" s="58"/>
      <c r="HO137" s="58"/>
      <c r="HP137" s="58"/>
      <c r="HQ137" s="58"/>
      <c r="HR137" s="58"/>
    </row>
    <row r="138" spans="1:226" s="30" customFormat="1" hidden="1" x14ac:dyDescent="0.3">
      <c r="A138" s="141"/>
      <c r="B138" s="141"/>
      <c r="C138" s="141"/>
      <c r="E138" s="58"/>
      <c r="F138" s="58"/>
      <c r="G138" s="58"/>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DT138" s="58"/>
      <c r="DU138" s="58"/>
      <c r="DV138" s="58"/>
      <c r="DW138" s="58"/>
      <c r="DX138" s="58"/>
      <c r="DY138" s="58"/>
      <c r="DZ138" s="58"/>
      <c r="EA138" s="58"/>
      <c r="EB138" s="58"/>
      <c r="EC138" s="58"/>
      <c r="ED138" s="58"/>
      <c r="EE138" s="58"/>
      <c r="EF138" s="58"/>
      <c r="EG138" s="58"/>
      <c r="EH138" s="58"/>
      <c r="EI138" s="58"/>
      <c r="EJ138" s="58"/>
      <c r="EK138" s="58"/>
      <c r="EL138" s="58"/>
      <c r="EM138" s="58"/>
      <c r="EN138" s="58"/>
      <c r="EO138" s="58"/>
      <c r="EP138" s="58"/>
      <c r="EQ138" s="58"/>
      <c r="ER138" s="58"/>
      <c r="ES138" s="58"/>
      <c r="ET138" s="58"/>
      <c r="EU138" s="58"/>
      <c r="EV138" s="58"/>
      <c r="EW138" s="58"/>
      <c r="EX138" s="58"/>
      <c r="EY138" s="58"/>
      <c r="EZ138" s="58"/>
      <c r="FA138" s="58"/>
      <c r="FB138" s="58"/>
      <c r="FC138" s="58"/>
      <c r="FD138" s="58"/>
      <c r="FE138" s="58"/>
      <c r="FF138" s="58"/>
      <c r="FG138" s="58"/>
      <c r="FH138" s="58"/>
      <c r="FI138" s="58"/>
      <c r="FJ138" s="58"/>
      <c r="FK138" s="58"/>
      <c r="FL138" s="58"/>
      <c r="FM138" s="58"/>
      <c r="FN138" s="58"/>
      <c r="FO138" s="58"/>
      <c r="FP138" s="58"/>
      <c r="FQ138" s="58"/>
      <c r="FR138" s="58"/>
      <c r="FS138" s="58"/>
      <c r="FT138" s="58"/>
      <c r="FU138" s="58"/>
      <c r="FV138" s="58"/>
      <c r="FW138" s="58"/>
      <c r="FX138" s="58"/>
      <c r="FY138" s="58"/>
      <c r="FZ138" s="58"/>
      <c r="GA138" s="58"/>
      <c r="GB138" s="58"/>
      <c r="GC138" s="58"/>
      <c r="GD138" s="58"/>
      <c r="GE138" s="58"/>
      <c r="GF138" s="58"/>
      <c r="GG138" s="58"/>
      <c r="GH138" s="58"/>
      <c r="GI138" s="58"/>
      <c r="GJ138" s="58"/>
      <c r="GK138" s="58"/>
      <c r="GL138" s="58"/>
      <c r="GM138" s="58"/>
      <c r="GN138" s="58"/>
      <c r="GO138" s="58"/>
      <c r="GP138" s="58"/>
      <c r="GQ138" s="58"/>
      <c r="GR138" s="58"/>
      <c r="GS138" s="58"/>
      <c r="GT138" s="58"/>
      <c r="GU138" s="58"/>
      <c r="GV138" s="58"/>
      <c r="GW138" s="58"/>
      <c r="GX138" s="58"/>
      <c r="GY138" s="58"/>
      <c r="GZ138" s="58"/>
      <c r="HA138" s="58"/>
      <c r="HB138" s="58"/>
      <c r="HC138" s="58"/>
      <c r="HD138" s="58"/>
      <c r="HE138" s="58"/>
      <c r="HF138" s="58"/>
      <c r="HG138" s="58"/>
      <c r="HH138" s="58"/>
      <c r="HI138" s="58"/>
      <c r="HJ138" s="58"/>
      <c r="HK138" s="58"/>
      <c r="HL138" s="58"/>
      <c r="HM138" s="58"/>
      <c r="HN138" s="58"/>
      <c r="HO138" s="58"/>
      <c r="HP138" s="58"/>
      <c r="HQ138" s="58"/>
      <c r="HR138" s="58"/>
    </row>
    <row r="139" spans="1:226" s="30" customFormat="1" hidden="1" x14ac:dyDescent="0.3">
      <c r="A139" s="141"/>
      <c r="B139" s="141"/>
      <c r="C139" s="141"/>
      <c r="E139" s="58"/>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row>
    <row r="140" spans="1:226" s="30" customFormat="1" hidden="1" x14ac:dyDescent="0.3">
      <c r="A140" s="141"/>
      <c r="B140" s="141"/>
      <c r="C140" s="141"/>
      <c r="E140" s="58"/>
      <c r="F140" s="58"/>
      <c r="G140" s="58"/>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FC140" s="58"/>
      <c r="FD140" s="58"/>
      <c r="FE140" s="58"/>
      <c r="FF140" s="58"/>
      <c r="FG140" s="58"/>
      <c r="FH140" s="58"/>
      <c r="FI140" s="58"/>
      <c r="FJ140" s="58"/>
      <c r="FK140" s="58"/>
      <c r="FL140" s="58"/>
      <c r="FM140" s="58"/>
      <c r="FN140" s="58"/>
      <c r="FO140" s="58"/>
      <c r="FP140" s="58"/>
      <c r="FQ140" s="58"/>
      <c r="FR140" s="58"/>
      <c r="FS140" s="58"/>
      <c r="FT140" s="58"/>
      <c r="FU140" s="58"/>
      <c r="FV140" s="58"/>
      <c r="FW140" s="58"/>
      <c r="FX140" s="58"/>
      <c r="FY140" s="58"/>
      <c r="FZ140" s="58"/>
      <c r="GA140" s="58"/>
      <c r="GB140" s="58"/>
      <c r="GC140" s="58"/>
      <c r="GD140" s="58"/>
      <c r="GE140" s="58"/>
      <c r="GF140" s="58"/>
      <c r="GG140" s="58"/>
      <c r="GH140" s="58"/>
      <c r="GI140" s="58"/>
      <c r="GJ140" s="58"/>
      <c r="GK140" s="58"/>
      <c r="GL140" s="58"/>
      <c r="GM140" s="58"/>
      <c r="GN140" s="58"/>
      <c r="GO140" s="58"/>
      <c r="GP140" s="58"/>
      <c r="GQ140" s="58"/>
      <c r="GR140" s="58"/>
      <c r="GS140" s="58"/>
      <c r="GT140" s="58"/>
      <c r="GU140" s="58"/>
      <c r="GV140" s="58"/>
      <c r="GW140" s="58"/>
      <c r="GX140" s="58"/>
      <c r="GY140" s="58"/>
      <c r="GZ140" s="58"/>
      <c r="HA140" s="58"/>
      <c r="HB140" s="58"/>
      <c r="HC140" s="58"/>
      <c r="HD140" s="58"/>
      <c r="HE140" s="58"/>
      <c r="HF140" s="58"/>
      <c r="HG140" s="58"/>
      <c r="HH140" s="58"/>
      <c r="HI140" s="58"/>
      <c r="HJ140" s="58"/>
      <c r="HK140" s="58"/>
      <c r="HL140" s="58"/>
      <c r="HM140" s="58"/>
      <c r="HN140" s="58"/>
      <c r="HO140" s="58"/>
      <c r="HP140" s="58"/>
      <c r="HQ140" s="58"/>
      <c r="HR140" s="58"/>
    </row>
    <row r="141" spans="1:226" s="30" customFormat="1" hidden="1" x14ac:dyDescent="0.3">
      <c r="A141" s="141"/>
      <c r="B141" s="141"/>
      <c r="C141" s="141"/>
      <c r="E141" s="58"/>
      <c r="F141" s="58"/>
      <c r="G141" s="58"/>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FC141" s="58"/>
      <c r="FD141" s="58"/>
      <c r="FE141" s="58"/>
      <c r="FF141" s="58"/>
      <c r="FG141" s="58"/>
      <c r="FH141" s="58"/>
      <c r="FI141" s="58"/>
      <c r="FJ141" s="58"/>
      <c r="FK141" s="58"/>
      <c r="FL141" s="58"/>
      <c r="FM141" s="58"/>
      <c r="FN141" s="58"/>
      <c r="FO141" s="58"/>
      <c r="FP141" s="58"/>
      <c r="FQ141" s="58"/>
      <c r="FR141" s="58"/>
      <c r="FS141" s="58"/>
      <c r="FT141" s="58"/>
      <c r="FU141" s="58"/>
      <c r="FV141" s="58"/>
      <c r="FW141" s="58"/>
      <c r="FX141" s="58"/>
      <c r="FY141" s="58"/>
      <c r="FZ141" s="58"/>
      <c r="GA141" s="58"/>
      <c r="GB141" s="58"/>
      <c r="GC141" s="58"/>
      <c r="GD141" s="58"/>
      <c r="GE141" s="58"/>
      <c r="GF141" s="58"/>
      <c r="GG141" s="58"/>
      <c r="GH141" s="58"/>
      <c r="GI141" s="58"/>
      <c r="GJ141" s="58"/>
      <c r="GK141" s="58"/>
      <c r="GL141" s="58"/>
      <c r="GM141" s="58"/>
      <c r="GN141" s="58"/>
      <c r="GO141" s="58"/>
      <c r="GP141" s="58"/>
      <c r="GQ141" s="58"/>
      <c r="GR141" s="58"/>
      <c r="GS141" s="58"/>
      <c r="GT141" s="58"/>
      <c r="GU141" s="58"/>
      <c r="GV141" s="58"/>
      <c r="GW141" s="58"/>
      <c r="GX141" s="58"/>
      <c r="GY141" s="58"/>
      <c r="GZ141" s="58"/>
      <c r="HA141" s="58"/>
      <c r="HB141" s="58"/>
      <c r="HC141" s="58"/>
      <c r="HD141" s="58"/>
      <c r="HE141" s="58"/>
      <c r="HF141" s="58"/>
      <c r="HG141" s="58"/>
      <c r="HH141" s="58"/>
      <c r="HI141" s="58"/>
      <c r="HJ141" s="58"/>
      <c r="HK141" s="58"/>
      <c r="HL141" s="58"/>
      <c r="HM141" s="58"/>
      <c r="HN141" s="58"/>
      <c r="HO141" s="58"/>
      <c r="HP141" s="58"/>
      <c r="HQ141" s="58"/>
      <c r="HR141" s="58"/>
    </row>
    <row r="142" spans="1:226" s="30" customFormat="1" hidden="1" x14ac:dyDescent="0.3">
      <c r="A142" s="141"/>
      <c r="B142" s="141"/>
      <c r="C142" s="141"/>
      <c r="E142" s="58"/>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FC142" s="58"/>
      <c r="FD142" s="58"/>
      <c r="FE142" s="58"/>
      <c r="FF142" s="58"/>
      <c r="FG142" s="58"/>
      <c r="FH142" s="58"/>
      <c r="FI142" s="58"/>
      <c r="FJ142" s="58"/>
      <c r="FK142" s="58"/>
      <c r="FL142" s="58"/>
      <c r="FM142" s="58"/>
      <c r="FN142" s="58"/>
      <c r="FO142" s="58"/>
      <c r="FP142" s="58"/>
      <c r="FQ142" s="58"/>
      <c r="FR142" s="58"/>
      <c r="FS142" s="58"/>
      <c r="FT142" s="58"/>
      <c r="FU142" s="58"/>
      <c r="FV142" s="58"/>
      <c r="FW142" s="58"/>
      <c r="FX142" s="58"/>
      <c r="FY142" s="58"/>
      <c r="FZ142" s="58"/>
      <c r="GA142" s="58"/>
      <c r="GB142" s="58"/>
      <c r="GC142" s="58"/>
      <c r="GD142" s="58"/>
      <c r="GE142" s="58"/>
      <c r="GF142" s="58"/>
      <c r="GG142" s="58"/>
      <c r="GH142" s="58"/>
      <c r="GI142" s="58"/>
      <c r="GJ142" s="58"/>
      <c r="GK142" s="58"/>
      <c r="GL142" s="58"/>
      <c r="GM142" s="58"/>
      <c r="GN142" s="58"/>
      <c r="GO142" s="58"/>
      <c r="GP142" s="58"/>
      <c r="GQ142" s="58"/>
      <c r="GR142" s="58"/>
      <c r="GS142" s="58"/>
      <c r="GT142" s="58"/>
      <c r="GU142" s="58"/>
      <c r="GV142" s="58"/>
      <c r="GW142" s="58"/>
      <c r="GX142" s="58"/>
      <c r="GY142" s="58"/>
      <c r="GZ142" s="58"/>
      <c r="HA142" s="58"/>
      <c r="HB142" s="58"/>
      <c r="HC142" s="58"/>
      <c r="HD142" s="58"/>
      <c r="HE142" s="58"/>
      <c r="HF142" s="58"/>
      <c r="HG142" s="58"/>
      <c r="HH142" s="58"/>
      <c r="HI142" s="58"/>
      <c r="HJ142" s="58"/>
      <c r="HK142" s="58"/>
      <c r="HL142" s="58"/>
      <c r="HM142" s="58"/>
      <c r="HN142" s="58"/>
      <c r="HO142" s="58"/>
      <c r="HP142" s="58"/>
      <c r="HQ142" s="58"/>
      <c r="HR142" s="58"/>
    </row>
    <row r="143" spans="1:226" s="30" customFormat="1" hidden="1" x14ac:dyDescent="0.3">
      <c r="A143" s="141"/>
      <c r="B143" s="141"/>
      <c r="C143" s="141"/>
      <c r="E143" s="58"/>
      <c r="F143" s="58"/>
      <c r="G143" s="58"/>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DT143" s="58"/>
      <c r="DU143" s="58"/>
      <c r="DV143" s="58"/>
      <c r="DW143" s="58"/>
      <c r="DX143" s="58"/>
      <c r="DY143" s="58"/>
      <c r="DZ143" s="58"/>
      <c r="EA143" s="58"/>
      <c r="EB143" s="58"/>
      <c r="EC143" s="58"/>
      <c r="ED143" s="58"/>
      <c r="EE143" s="58"/>
      <c r="EF143" s="58"/>
      <c r="EG143" s="58"/>
      <c r="EH143" s="58"/>
      <c r="EI143" s="58"/>
      <c r="EJ143" s="58"/>
      <c r="EK143" s="58"/>
      <c r="EL143" s="58"/>
      <c r="EM143" s="58"/>
      <c r="EN143" s="58"/>
      <c r="EO143" s="58"/>
      <c r="EP143" s="58"/>
      <c r="EQ143" s="58"/>
      <c r="ER143" s="58"/>
      <c r="ES143" s="58"/>
      <c r="ET143" s="58"/>
      <c r="EU143" s="58"/>
      <c r="EV143" s="58"/>
      <c r="EW143" s="58"/>
      <c r="EX143" s="58"/>
      <c r="EY143" s="58"/>
      <c r="EZ143" s="58"/>
      <c r="FA143" s="58"/>
      <c r="FB143" s="58"/>
      <c r="FC143" s="58"/>
      <c r="FD143" s="58"/>
      <c r="FE143" s="58"/>
      <c r="FF143" s="58"/>
      <c r="FG143" s="58"/>
      <c r="FH143" s="58"/>
      <c r="FI143" s="58"/>
      <c r="FJ143" s="58"/>
      <c r="FK143" s="58"/>
      <c r="FL143" s="58"/>
      <c r="FM143" s="58"/>
      <c r="FN143" s="58"/>
      <c r="FO143" s="58"/>
      <c r="FP143" s="58"/>
      <c r="FQ143" s="58"/>
      <c r="FR143" s="58"/>
      <c r="FS143" s="58"/>
      <c r="FT143" s="58"/>
      <c r="FU143" s="58"/>
      <c r="FV143" s="58"/>
      <c r="FW143" s="58"/>
      <c r="FX143" s="58"/>
      <c r="FY143" s="58"/>
      <c r="FZ143" s="58"/>
      <c r="GA143" s="58"/>
      <c r="GB143" s="58"/>
      <c r="GC143" s="58"/>
      <c r="GD143" s="58"/>
      <c r="GE143" s="58"/>
      <c r="GF143" s="58"/>
      <c r="GG143" s="58"/>
      <c r="GH143" s="58"/>
      <c r="GI143" s="58"/>
      <c r="GJ143" s="58"/>
      <c r="GK143" s="58"/>
      <c r="GL143" s="58"/>
      <c r="GM143" s="58"/>
      <c r="GN143" s="58"/>
      <c r="GO143" s="58"/>
      <c r="GP143" s="58"/>
      <c r="GQ143" s="58"/>
      <c r="GR143" s="58"/>
      <c r="GS143" s="58"/>
      <c r="GT143" s="58"/>
      <c r="GU143" s="58"/>
      <c r="GV143" s="58"/>
      <c r="GW143" s="58"/>
      <c r="GX143" s="58"/>
      <c r="GY143" s="58"/>
      <c r="GZ143" s="58"/>
      <c r="HA143" s="58"/>
      <c r="HB143" s="58"/>
      <c r="HC143" s="58"/>
      <c r="HD143" s="58"/>
      <c r="HE143" s="58"/>
      <c r="HF143" s="58"/>
      <c r="HG143" s="58"/>
      <c r="HH143" s="58"/>
      <c r="HI143" s="58"/>
      <c r="HJ143" s="58"/>
      <c r="HK143" s="58"/>
      <c r="HL143" s="58"/>
      <c r="HM143" s="58"/>
      <c r="HN143" s="58"/>
      <c r="HO143" s="58"/>
      <c r="HP143" s="58"/>
      <c r="HQ143" s="58"/>
      <c r="HR143" s="58"/>
    </row>
    <row r="144" spans="1:226" s="30" customFormat="1" hidden="1" x14ac:dyDescent="0.3">
      <c r="A144" s="141"/>
      <c r="B144" s="141"/>
      <c r="C144" s="141"/>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CS144" s="58"/>
      <c r="CT144" s="58"/>
      <c r="CU144" s="58"/>
      <c r="CV144" s="58"/>
      <c r="CW144" s="58"/>
      <c r="CX144" s="58"/>
      <c r="CY144" s="58"/>
      <c r="CZ144" s="58"/>
      <c r="DA144" s="58"/>
      <c r="DB144" s="58"/>
      <c r="DC144" s="58"/>
      <c r="DD144" s="58"/>
      <c r="DE144" s="58"/>
      <c r="DF144" s="58"/>
      <c r="DG144" s="58"/>
      <c r="DH144" s="58"/>
      <c r="DI144" s="58"/>
      <c r="DJ144" s="58"/>
      <c r="DK144" s="58"/>
      <c r="DL144" s="58"/>
      <c r="DM144" s="58"/>
      <c r="DN144" s="58"/>
      <c r="DO144" s="58"/>
      <c r="DP144" s="58"/>
      <c r="DQ144" s="58"/>
      <c r="DR144" s="58"/>
      <c r="DS144" s="58"/>
      <c r="DT144" s="58"/>
      <c r="DU144" s="58"/>
      <c r="DV144" s="58"/>
      <c r="DW144" s="58"/>
      <c r="DX144" s="58"/>
      <c r="DY144" s="58"/>
      <c r="DZ144" s="58"/>
      <c r="EA144" s="58"/>
      <c r="EB144" s="58"/>
      <c r="EC144" s="58"/>
      <c r="ED144" s="58"/>
      <c r="EE144" s="58"/>
      <c r="EF144" s="58"/>
      <c r="EG144" s="58"/>
      <c r="EH144" s="58"/>
      <c r="EI144" s="58"/>
      <c r="EJ144" s="58"/>
      <c r="EK144" s="58"/>
      <c r="EL144" s="58"/>
      <c r="EM144" s="58"/>
      <c r="EN144" s="58"/>
      <c r="EO144" s="58"/>
      <c r="EP144" s="58"/>
      <c r="EQ144" s="58"/>
      <c r="ER144" s="58"/>
      <c r="ES144" s="58"/>
      <c r="ET144" s="58"/>
      <c r="EU144" s="58"/>
      <c r="EV144" s="58"/>
      <c r="EW144" s="58"/>
      <c r="EX144" s="58"/>
      <c r="EY144" s="58"/>
      <c r="EZ144" s="58"/>
      <c r="FA144" s="58"/>
      <c r="FB144" s="58"/>
      <c r="FC144" s="58"/>
      <c r="FD144" s="58"/>
      <c r="FE144" s="58"/>
      <c r="FF144" s="58"/>
      <c r="FG144" s="58"/>
      <c r="FH144" s="58"/>
      <c r="FI144" s="58"/>
      <c r="FJ144" s="58"/>
      <c r="FK144" s="58"/>
      <c r="FL144" s="58"/>
      <c r="FM144" s="58"/>
      <c r="FN144" s="58"/>
      <c r="FO144" s="58"/>
      <c r="FP144" s="58"/>
      <c r="FQ144" s="58"/>
      <c r="FR144" s="58"/>
      <c r="FS144" s="58"/>
      <c r="FT144" s="58"/>
      <c r="FU144" s="58"/>
      <c r="FV144" s="58"/>
      <c r="FW144" s="58"/>
      <c r="FX144" s="58"/>
      <c r="FY144" s="58"/>
      <c r="FZ144" s="58"/>
      <c r="GA144" s="58"/>
      <c r="GB144" s="58"/>
      <c r="GC144" s="58"/>
      <c r="GD144" s="58"/>
      <c r="GE144" s="58"/>
      <c r="GF144" s="58"/>
      <c r="GG144" s="58"/>
      <c r="GH144" s="58"/>
      <c r="GI144" s="58"/>
      <c r="GJ144" s="58"/>
      <c r="GK144" s="58"/>
      <c r="GL144" s="58"/>
      <c r="GM144" s="58"/>
      <c r="GN144" s="58"/>
      <c r="GO144" s="58"/>
      <c r="GP144" s="58"/>
      <c r="GQ144" s="58"/>
      <c r="GR144" s="58"/>
      <c r="GS144" s="58"/>
      <c r="GT144" s="58"/>
      <c r="GU144" s="58"/>
      <c r="GV144" s="58"/>
      <c r="GW144" s="58"/>
      <c r="GX144" s="58"/>
      <c r="GY144" s="58"/>
      <c r="GZ144" s="58"/>
      <c r="HA144" s="58"/>
      <c r="HB144" s="58"/>
      <c r="HC144" s="58"/>
      <c r="HD144" s="58"/>
      <c r="HE144" s="58"/>
      <c r="HF144" s="58"/>
      <c r="HG144" s="58"/>
      <c r="HH144" s="58"/>
      <c r="HI144" s="58"/>
      <c r="HJ144" s="58"/>
      <c r="HK144" s="58"/>
      <c r="HL144" s="58"/>
      <c r="HM144" s="58"/>
      <c r="HN144" s="58"/>
      <c r="HO144" s="58"/>
      <c r="HP144" s="58"/>
      <c r="HQ144" s="58"/>
      <c r="HR144" s="58"/>
    </row>
    <row r="145" spans="1:226" s="30" customFormat="1" hidden="1" x14ac:dyDescent="0.3">
      <c r="A145" s="141"/>
      <c r="B145" s="141"/>
      <c r="C145" s="141"/>
      <c r="E145" s="58"/>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row>
    <row r="146" spans="1:226" s="30" customFormat="1" hidden="1" x14ac:dyDescent="0.3">
      <c r="A146" s="141"/>
      <c r="B146" s="141"/>
      <c r="C146" s="141"/>
      <c r="E146" s="58"/>
      <c r="F146" s="58"/>
      <c r="G146" s="58"/>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FC146" s="58"/>
      <c r="FD146" s="58"/>
      <c r="FE146" s="58"/>
      <c r="FF146" s="58"/>
      <c r="FG146" s="58"/>
      <c r="FH146" s="58"/>
      <c r="FI146" s="58"/>
      <c r="FJ146" s="58"/>
      <c r="FK146" s="58"/>
      <c r="FL146" s="58"/>
      <c r="FM146" s="58"/>
      <c r="FN146" s="58"/>
      <c r="FO146" s="58"/>
      <c r="FP146" s="58"/>
      <c r="FQ146" s="58"/>
      <c r="FR146" s="58"/>
      <c r="FS146" s="58"/>
      <c r="FT146" s="58"/>
      <c r="FU146" s="58"/>
      <c r="FV146" s="58"/>
      <c r="FW146" s="58"/>
      <c r="FX146" s="58"/>
      <c r="FY146" s="58"/>
      <c r="FZ146" s="58"/>
      <c r="GA146" s="58"/>
      <c r="GB146" s="58"/>
      <c r="GC146" s="58"/>
      <c r="GD146" s="58"/>
      <c r="GE146" s="58"/>
      <c r="GF146" s="58"/>
      <c r="GG146" s="58"/>
      <c r="GH146" s="58"/>
      <c r="GI146" s="58"/>
      <c r="GJ146" s="58"/>
      <c r="GK146" s="58"/>
      <c r="GL146" s="58"/>
      <c r="GM146" s="58"/>
      <c r="GN146" s="58"/>
      <c r="GO146" s="58"/>
      <c r="GP146" s="58"/>
      <c r="GQ146" s="58"/>
      <c r="GR146" s="58"/>
      <c r="GS146" s="58"/>
      <c r="GT146" s="58"/>
      <c r="GU146" s="58"/>
      <c r="GV146" s="58"/>
      <c r="GW146" s="58"/>
      <c r="GX146" s="58"/>
      <c r="GY146" s="58"/>
      <c r="GZ146" s="58"/>
      <c r="HA146" s="58"/>
      <c r="HB146" s="58"/>
      <c r="HC146" s="58"/>
      <c r="HD146" s="58"/>
      <c r="HE146" s="58"/>
      <c r="HF146" s="58"/>
      <c r="HG146" s="58"/>
      <c r="HH146" s="58"/>
      <c r="HI146" s="58"/>
      <c r="HJ146" s="58"/>
      <c r="HK146" s="58"/>
      <c r="HL146" s="58"/>
      <c r="HM146" s="58"/>
      <c r="HN146" s="58"/>
      <c r="HO146" s="58"/>
      <c r="HP146" s="58"/>
      <c r="HQ146" s="58"/>
      <c r="HR146" s="58"/>
    </row>
    <row r="147" spans="1:226" s="30" customFormat="1" hidden="1" x14ac:dyDescent="0.3">
      <c r="A147" s="141"/>
      <c r="B147" s="141"/>
      <c r="C147" s="141"/>
      <c r="E147" s="58"/>
      <c r="F147" s="58"/>
      <c r="G147" s="58"/>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CS147" s="58"/>
      <c r="CT147" s="58"/>
      <c r="CU147" s="58"/>
      <c r="CV147" s="58"/>
      <c r="CW147" s="58"/>
      <c r="CX147" s="58"/>
      <c r="CY147" s="58"/>
      <c r="CZ147" s="58"/>
      <c r="DA147" s="58"/>
      <c r="DB147" s="58"/>
      <c r="DC147" s="58"/>
      <c r="DD147" s="58"/>
      <c r="DE147" s="58"/>
      <c r="DF147" s="58"/>
      <c r="DG147" s="58"/>
      <c r="DH147" s="58"/>
      <c r="DI147" s="58"/>
      <c r="DJ147" s="58"/>
      <c r="DK147" s="58"/>
      <c r="DL147" s="58"/>
      <c r="DM147" s="58"/>
      <c r="DN147" s="58"/>
      <c r="DO147" s="58"/>
      <c r="DP147" s="58"/>
      <c r="DQ147" s="58"/>
      <c r="DR147" s="58"/>
      <c r="DS147" s="58"/>
      <c r="DT147" s="58"/>
      <c r="DU147" s="58"/>
      <c r="DV147" s="58"/>
      <c r="DW147" s="58"/>
      <c r="DX147" s="58"/>
      <c r="DY147" s="58"/>
      <c r="DZ147" s="58"/>
      <c r="EA147" s="58"/>
      <c r="EB147" s="58"/>
      <c r="EC147" s="58"/>
      <c r="ED147" s="58"/>
      <c r="EE147" s="58"/>
      <c r="EF147" s="58"/>
      <c r="EG147" s="58"/>
      <c r="EH147" s="58"/>
      <c r="EI147" s="58"/>
      <c r="EJ147" s="58"/>
      <c r="EK147" s="58"/>
      <c r="EL147" s="58"/>
      <c r="EM147" s="58"/>
      <c r="EN147" s="58"/>
      <c r="EO147" s="58"/>
      <c r="EP147" s="58"/>
      <c r="EQ147" s="58"/>
      <c r="ER147" s="58"/>
      <c r="ES147" s="58"/>
      <c r="ET147" s="58"/>
      <c r="EU147" s="58"/>
      <c r="EV147" s="58"/>
      <c r="EW147" s="58"/>
      <c r="EX147" s="58"/>
      <c r="EY147" s="58"/>
      <c r="EZ147" s="58"/>
      <c r="FA147" s="58"/>
      <c r="FB147" s="58"/>
      <c r="FC147" s="58"/>
      <c r="FD147" s="58"/>
      <c r="FE147" s="58"/>
      <c r="FF147" s="58"/>
      <c r="FG147" s="58"/>
      <c r="FH147" s="58"/>
      <c r="FI147" s="58"/>
      <c r="FJ147" s="58"/>
      <c r="FK147" s="58"/>
      <c r="FL147" s="58"/>
      <c r="FM147" s="58"/>
      <c r="FN147" s="58"/>
      <c r="FO147" s="58"/>
      <c r="FP147" s="58"/>
      <c r="FQ147" s="58"/>
      <c r="FR147" s="58"/>
      <c r="FS147" s="58"/>
      <c r="FT147" s="58"/>
      <c r="FU147" s="58"/>
      <c r="FV147" s="58"/>
      <c r="FW147" s="58"/>
      <c r="FX147" s="58"/>
      <c r="FY147" s="58"/>
      <c r="FZ147" s="58"/>
      <c r="GA147" s="58"/>
      <c r="GB147" s="58"/>
      <c r="GC147" s="58"/>
      <c r="GD147" s="58"/>
      <c r="GE147" s="58"/>
      <c r="GF147" s="58"/>
      <c r="GG147" s="58"/>
      <c r="GH147" s="58"/>
      <c r="GI147" s="58"/>
      <c r="GJ147" s="58"/>
      <c r="GK147" s="58"/>
      <c r="GL147" s="58"/>
      <c r="GM147" s="58"/>
      <c r="GN147" s="58"/>
      <c r="GO147" s="58"/>
      <c r="GP147" s="58"/>
      <c r="GQ147" s="58"/>
      <c r="GR147" s="58"/>
      <c r="GS147" s="58"/>
      <c r="GT147" s="58"/>
      <c r="GU147" s="58"/>
      <c r="GV147" s="58"/>
      <c r="GW147" s="58"/>
      <c r="GX147" s="58"/>
      <c r="GY147" s="58"/>
      <c r="GZ147" s="58"/>
      <c r="HA147" s="58"/>
      <c r="HB147" s="58"/>
      <c r="HC147" s="58"/>
      <c r="HD147" s="58"/>
      <c r="HE147" s="58"/>
      <c r="HF147" s="58"/>
      <c r="HG147" s="58"/>
      <c r="HH147" s="58"/>
      <c r="HI147" s="58"/>
      <c r="HJ147" s="58"/>
      <c r="HK147" s="58"/>
      <c r="HL147" s="58"/>
      <c r="HM147" s="58"/>
      <c r="HN147" s="58"/>
      <c r="HO147" s="58"/>
      <c r="HP147" s="58"/>
      <c r="HQ147" s="58"/>
      <c r="HR147" s="58"/>
    </row>
    <row r="148" spans="1:226" s="30" customFormat="1" hidden="1" x14ac:dyDescent="0.3">
      <c r="A148" s="141"/>
      <c r="B148" s="141"/>
      <c r="C148" s="141"/>
      <c r="E148" s="58"/>
      <c r="F148" s="58"/>
      <c r="G148" s="58"/>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FC148" s="58"/>
      <c r="FD148" s="58"/>
      <c r="FE148" s="58"/>
      <c r="FF148" s="58"/>
      <c r="FG148" s="58"/>
      <c r="FH148" s="58"/>
      <c r="FI148" s="58"/>
      <c r="FJ148" s="58"/>
      <c r="FK148" s="58"/>
      <c r="FL148" s="58"/>
      <c r="FM148" s="58"/>
      <c r="FN148" s="58"/>
      <c r="FO148" s="58"/>
      <c r="FP148" s="58"/>
      <c r="FQ148" s="58"/>
      <c r="FR148" s="58"/>
      <c r="FS148" s="58"/>
      <c r="FT148" s="58"/>
      <c r="FU148" s="58"/>
      <c r="FV148" s="58"/>
      <c r="FW148" s="58"/>
      <c r="FX148" s="58"/>
      <c r="FY148" s="58"/>
      <c r="FZ148" s="58"/>
      <c r="GA148" s="58"/>
      <c r="GB148" s="58"/>
      <c r="GC148" s="58"/>
      <c r="GD148" s="58"/>
      <c r="GE148" s="58"/>
      <c r="GF148" s="58"/>
      <c r="GG148" s="58"/>
      <c r="GH148" s="58"/>
      <c r="GI148" s="58"/>
      <c r="GJ148" s="58"/>
      <c r="GK148" s="58"/>
      <c r="GL148" s="58"/>
      <c r="GM148" s="58"/>
      <c r="GN148" s="58"/>
      <c r="GO148" s="58"/>
      <c r="GP148" s="58"/>
      <c r="GQ148" s="58"/>
      <c r="GR148" s="58"/>
      <c r="GS148" s="58"/>
      <c r="GT148" s="58"/>
      <c r="GU148" s="58"/>
      <c r="GV148" s="58"/>
      <c r="GW148" s="58"/>
      <c r="GX148" s="58"/>
      <c r="GY148" s="58"/>
      <c r="GZ148" s="58"/>
      <c r="HA148" s="58"/>
      <c r="HB148" s="58"/>
      <c r="HC148" s="58"/>
      <c r="HD148" s="58"/>
      <c r="HE148" s="58"/>
      <c r="HF148" s="58"/>
      <c r="HG148" s="58"/>
      <c r="HH148" s="58"/>
      <c r="HI148" s="58"/>
      <c r="HJ148" s="58"/>
      <c r="HK148" s="58"/>
      <c r="HL148" s="58"/>
      <c r="HM148" s="58"/>
      <c r="HN148" s="58"/>
      <c r="HO148" s="58"/>
      <c r="HP148" s="58"/>
      <c r="HQ148" s="58"/>
      <c r="HR148" s="58"/>
    </row>
    <row r="149" spans="1:226" s="30" customFormat="1" hidden="1" x14ac:dyDescent="0.3">
      <c r="A149" s="141"/>
      <c r="B149" s="141"/>
      <c r="C149" s="141"/>
      <c r="E149" s="58"/>
      <c r="F149" s="58"/>
      <c r="G149" s="58"/>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DT149" s="58"/>
      <c r="DU149" s="58"/>
      <c r="DV149" s="58"/>
      <c r="DW149" s="58"/>
      <c r="DX149" s="58"/>
      <c r="DY149" s="58"/>
      <c r="DZ149" s="58"/>
      <c r="EA149" s="58"/>
      <c r="EB149" s="58"/>
      <c r="EC149" s="58"/>
      <c r="ED149" s="58"/>
      <c r="EE149" s="58"/>
      <c r="EF149" s="58"/>
      <c r="EG149" s="58"/>
      <c r="EH149" s="58"/>
      <c r="EI149" s="58"/>
      <c r="EJ149" s="58"/>
      <c r="EK149" s="58"/>
      <c r="EL149" s="58"/>
      <c r="EM149" s="58"/>
      <c r="EN149" s="58"/>
      <c r="EO149" s="58"/>
      <c r="EP149" s="58"/>
      <c r="EQ149" s="58"/>
      <c r="ER149" s="58"/>
      <c r="ES149" s="58"/>
      <c r="ET149" s="58"/>
      <c r="EU149" s="58"/>
      <c r="EV149" s="58"/>
      <c r="EW149" s="58"/>
      <c r="EX149" s="58"/>
      <c r="EY149" s="58"/>
      <c r="EZ149" s="58"/>
      <c r="FA149" s="58"/>
      <c r="FB149" s="58"/>
      <c r="FC149" s="58"/>
      <c r="FD149" s="58"/>
      <c r="FE149" s="58"/>
      <c r="FF149" s="58"/>
      <c r="FG149" s="58"/>
      <c r="FH149" s="58"/>
      <c r="FI149" s="58"/>
      <c r="FJ149" s="58"/>
      <c r="FK149" s="58"/>
      <c r="FL149" s="58"/>
      <c r="FM149" s="58"/>
      <c r="FN149" s="58"/>
      <c r="FO149" s="58"/>
      <c r="FP149" s="58"/>
      <c r="FQ149" s="58"/>
      <c r="FR149" s="58"/>
      <c r="FS149" s="58"/>
      <c r="FT149" s="58"/>
      <c r="FU149" s="58"/>
      <c r="FV149" s="58"/>
      <c r="FW149" s="58"/>
      <c r="FX149" s="58"/>
      <c r="FY149" s="58"/>
      <c r="FZ149" s="58"/>
      <c r="GA149" s="58"/>
      <c r="GB149" s="58"/>
      <c r="GC149" s="58"/>
      <c r="GD149" s="58"/>
      <c r="GE149" s="58"/>
      <c r="GF149" s="58"/>
      <c r="GG149" s="58"/>
      <c r="GH149" s="58"/>
      <c r="GI149" s="58"/>
    </row>
    <row r="150" spans="1:226" s="30" customFormat="1" hidden="1" x14ac:dyDescent="0.3">
      <c r="A150" s="141"/>
      <c r="B150" s="141"/>
      <c r="C150" s="141"/>
      <c r="E150" s="58"/>
      <c r="F150" s="58"/>
      <c r="G150" s="58"/>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FC150" s="58"/>
      <c r="FD150" s="58"/>
      <c r="FE150" s="58"/>
      <c r="FF150" s="58"/>
      <c r="FG150" s="58"/>
      <c r="FH150" s="58"/>
      <c r="FI150" s="58"/>
      <c r="FJ150" s="58"/>
      <c r="FK150" s="58"/>
      <c r="FL150" s="58"/>
      <c r="FM150" s="58"/>
      <c r="FN150" s="58"/>
      <c r="FO150" s="58"/>
      <c r="FP150" s="58"/>
      <c r="FQ150" s="58"/>
      <c r="FR150" s="58"/>
      <c r="FS150" s="58"/>
      <c r="FT150" s="58"/>
      <c r="FU150" s="58"/>
      <c r="FV150" s="58"/>
      <c r="FW150" s="58"/>
      <c r="FX150" s="58"/>
      <c r="FY150" s="58"/>
      <c r="FZ150" s="58"/>
      <c r="GA150" s="58"/>
      <c r="GB150" s="58"/>
      <c r="GC150" s="58"/>
      <c r="GD150" s="58"/>
      <c r="GE150" s="58"/>
      <c r="GF150" s="58"/>
      <c r="GG150" s="58"/>
      <c r="GH150" s="58"/>
      <c r="GI150" s="58"/>
      <c r="GJ150" s="58"/>
      <c r="GK150" s="58"/>
      <c r="GL150" s="58"/>
      <c r="GM150" s="58"/>
      <c r="GN150" s="58"/>
      <c r="GO150" s="58"/>
      <c r="GP150" s="58"/>
      <c r="GQ150" s="58"/>
      <c r="GR150" s="58"/>
      <c r="GS150" s="58"/>
      <c r="GT150" s="58"/>
      <c r="GU150" s="58"/>
      <c r="GV150" s="58"/>
      <c r="GW150" s="58"/>
      <c r="GX150" s="58"/>
      <c r="GY150" s="58"/>
      <c r="GZ150" s="58"/>
      <c r="HA150" s="58"/>
      <c r="HB150" s="58"/>
      <c r="HC150" s="58"/>
      <c r="HD150" s="58"/>
      <c r="HE150" s="58"/>
      <c r="HF150" s="58"/>
      <c r="HG150" s="58"/>
      <c r="HH150" s="58"/>
      <c r="HI150" s="58"/>
      <c r="HJ150" s="58"/>
      <c r="HK150" s="58"/>
      <c r="HL150" s="58"/>
      <c r="HM150" s="58"/>
      <c r="HN150" s="58"/>
      <c r="HO150" s="58"/>
      <c r="HP150" s="58"/>
      <c r="HQ150" s="58"/>
      <c r="HR150" s="58"/>
    </row>
    <row r="151" spans="1:226" s="30" customFormat="1" hidden="1" x14ac:dyDescent="0.3">
      <c r="A151" s="141"/>
      <c r="B151" s="141"/>
      <c r="C151" s="141"/>
      <c r="E151" s="58"/>
      <c r="F151" s="58"/>
      <c r="G151" s="58"/>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FC151" s="58"/>
      <c r="FD151" s="58"/>
      <c r="FE151" s="58"/>
      <c r="FF151" s="58"/>
      <c r="FG151" s="58"/>
      <c r="FH151" s="58"/>
      <c r="FI151" s="58"/>
      <c r="FJ151" s="58"/>
      <c r="FK151" s="58"/>
      <c r="FL151" s="58"/>
      <c r="FM151" s="58"/>
      <c r="FN151" s="58"/>
      <c r="FO151" s="58"/>
      <c r="FP151" s="58"/>
      <c r="FQ151" s="58"/>
      <c r="FR151" s="58"/>
      <c r="FS151" s="58"/>
      <c r="FT151" s="58"/>
      <c r="FU151" s="58"/>
      <c r="FV151" s="58"/>
      <c r="FW151" s="58"/>
      <c r="FX151" s="58"/>
      <c r="FY151" s="58"/>
      <c r="FZ151" s="58"/>
      <c r="GA151" s="58"/>
      <c r="GB151" s="58"/>
      <c r="GC151" s="58"/>
      <c r="GD151" s="58"/>
      <c r="GE151" s="58"/>
      <c r="GF151" s="58"/>
      <c r="GG151" s="58"/>
      <c r="GH151" s="58"/>
      <c r="GI151" s="58"/>
      <c r="GJ151" s="58"/>
      <c r="GK151" s="58"/>
      <c r="GL151" s="58"/>
      <c r="GM151" s="58"/>
      <c r="GN151" s="58"/>
      <c r="GO151" s="58"/>
      <c r="GP151" s="58"/>
      <c r="GQ151" s="58"/>
      <c r="GR151" s="58"/>
      <c r="GS151" s="58"/>
      <c r="GT151" s="58"/>
      <c r="GU151" s="58"/>
      <c r="GV151" s="58"/>
      <c r="GW151" s="58"/>
      <c r="GX151" s="58"/>
      <c r="GY151" s="58"/>
      <c r="GZ151" s="58"/>
      <c r="HA151" s="58"/>
      <c r="HB151" s="58"/>
      <c r="HC151" s="58"/>
      <c r="HD151" s="58"/>
      <c r="HE151" s="58"/>
      <c r="HF151" s="58"/>
      <c r="HG151" s="58"/>
      <c r="HH151" s="58"/>
      <c r="HI151" s="58"/>
      <c r="HJ151" s="58"/>
      <c r="HK151" s="58"/>
      <c r="HL151" s="58"/>
      <c r="HM151" s="58"/>
      <c r="HN151" s="58"/>
      <c r="HO151" s="58"/>
      <c r="HP151" s="58"/>
      <c r="HQ151" s="58"/>
      <c r="HR151" s="58"/>
    </row>
    <row r="152" spans="1:226" s="30" customFormat="1" hidden="1" x14ac:dyDescent="0.3">
      <c r="A152" s="141"/>
      <c r="B152" s="141"/>
      <c r="C152" s="141"/>
      <c r="E152" s="58"/>
      <c r="F152" s="58"/>
      <c r="G152" s="58"/>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FC152" s="58"/>
      <c r="FD152" s="58"/>
      <c r="FE152" s="58"/>
      <c r="FF152" s="58"/>
      <c r="FG152" s="58"/>
      <c r="FH152" s="58"/>
      <c r="FI152" s="58"/>
      <c r="FJ152" s="58"/>
      <c r="FK152" s="58"/>
      <c r="FL152" s="58"/>
      <c r="FM152" s="58"/>
      <c r="FN152" s="58"/>
      <c r="FO152" s="58"/>
      <c r="FP152" s="58"/>
      <c r="FQ152" s="58"/>
      <c r="FR152" s="58"/>
      <c r="FS152" s="58"/>
      <c r="FT152" s="58"/>
      <c r="FU152" s="58"/>
      <c r="FV152" s="58"/>
      <c r="FW152" s="58"/>
      <c r="FX152" s="58"/>
      <c r="FY152" s="58"/>
      <c r="FZ152" s="58"/>
      <c r="GA152" s="58"/>
      <c r="GB152" s="58"/>
      <c r="GC152" s="58"/>
      <c r="GD152" s="58"/>
      <c r="GE152" s="58"/>
      <c r="GF152" s="58"/>
      <c r="GG152" s="58"/>
      <c r="GH152" s="58"/>
      <c r="GI152" s="58"/>
      <c r="GJ152" s="58"/>
      <c r="GK152" s="58"/>
      <c r="GL152" s="58"/>
      <c r="GM152" s="58"/>
      <c r="GN152" s="58"/>
      <c r="GO152" s="58"/>
      <c r="GP152" s="58"/>
      <c r="GQ152" s="58"/>
      <c r="GR152" s="58"/>
      <c r="GS152" s="58"/>
      <c r="GT152" s="58"/>
      <c r="GU152" s="58"/>
      <c r="GV152" s="58"/>
      <c r="GW152" s="58"/>
      <c r="GX152" s="58"/>
      <c r="GY152" s="58"/>
      <c r="GZ152" s="58"/>
      <c r="HA152" s="58"/>
      <c r="HB152" s="58"/>
      <c r="HC152" s="58"/>
      <c r="HD152" s="58"/>
      <c r="HE152" s="58"/>
      <c r="HF152" s="58"/>
      <c r="HG152" s="58"/>
      <c r="HH152" s="58"/>
      <c r="HI152" s="58"/>
      <c r="HJ152" s="58"/>
      <c r="HK152" s="58"/>
      <c r="HL152" s="58"/>
      <c r="HM152" s="58"/>
      <c r="HN152" s="58"/>
      <c r="HO152" s="58"/>
      <c r="HP152" s="58"/>
      <c r="HQ152" s="58"/>
      <c r="HR152" s="58"/>
    </row>
    <row r="153" spans="1:226" s="30" customFormat="1" hidden="1" x14ac:dyDescent="0.3">
      <c r="A153" s="141"/>
      <c r="B153" s="141"/>
      <c r="C153" s="141"/>
      <c r="E153" s="58"/>
      <c r="F153" s="58"/>
      <c r="G153" s="58"/>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row>
    <row r="154" spans="1:226" s="30" customFormat="1" hidden="1" x14ac:dyDescent="0.3">
      <c r="A154" s="141"/>
      <c r="B154" s="141"/>
      <c r="C154" s="141"/>
    </row>
    <row r="155" spans="1:226" s="30" customFormat="1" hidden="1" x14ac:dyDescent="0.3">
      <c r="A155" s="141"/>
      <c r="B155" s="141"/>
      <c r="C155" s="141"/>
    </row>
    <row r="156" spans="1:226" s="30" customFormat="1" hidden="1" x14ac:dyDescent="0.3">
      <c r="A156" s="141"/>
      <c r="B156" s="141"/>
      <c r="C156" s="141"/>
      <c r="E156" s="58"/>
      <c r="F156" s="58"/>
      <c r="G156" s="58"/>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FC156" s="58"/>
      <c r="FD156" s="58"/>
      <c r="FE156" s="58"/>
      <c r="FF156" s="58"/>
      <c r="FG156" s="58"/>
      <c r="FH156" s="58"/>
      <c r="FI156" s="58"/>
      <c r="FJ156" s="58"/>
      <c r="FK156" s="58"/>
      <c r="FL156" s="58"/>
      <c r="FM156" s="58"/>
      <c r="FN156" s="58"/>
      <c r="FO156" s="58"/>
      <c r="FP156" s="58"/>
      <c r="FQ156" s="58"/>
      <c r="FR156" s="58"/>
      <c r="FS156" s="58"/>
      <c r="FT156" s="58"/>
      <c r="FU156" s="58"/>
      <c r="FV156" s="58"/>
      <c r="FW156" s="58"/>
      <c r="FX156" s="58"/>
      <c r="FY156" s="58"/>
      <c r="FZ156" s="58"/>
      <c r="GA156" s="58"/>
      <c r="GB156" s="58"/>
      <c r="GC156" s="58"/>
      <c r="GD156" s="58"/>
      <c r="GE156" s="58"/>
      <c r="GF156" s="58"/>
      <c r="GG156" s="58"/>
      <c r="GH156" s="58"/>
      <c r="GI156" s="58"/>
      <c r="GJ156" s="58"/>
      <c r="GK156" s="58"/>
      <c r="GL156" s="58"/>
      <c r="GM156" s="58"/>
      <c r="GN156" s="58"/>
      <c r="GO156" s="58"/>
      <c r="GP156" s="58"/>
      <c r="GQ156" s="58"/>
      <c r="GR156" s="58"/>
      <c r="GS156" s="58"/>
      <c r="GT156" s="58"/>
      <c r="GU156" s="58"/>
      <c r="GV156" s="58"/>
      <c r="GW156" s="58"/>
      <c r="GX156" s="58"/>
      <c r="GY156" s="58"/>
      <c r="GZ156" s="58"/>
      <c r="HA156" s="58"/>
      <c r="HB156" s="58"/>
      <c r="HC156" s="58"/>
      <c r="HD156" s="58"/>
      <c r="HE156" s="58"/>
      <c r="HF156" s="58"/>
      <c r="HG156" s="58"/>
      <c r="HH156" s="58"/>
      <c r="HI156" s="58"/>
      <c r="HJ156" s="58"/>
      <c r="HK156" s="58"/>
      <c r="HL156" s="58"/>
      <c r="HM156" s="58"/>
      <c r="HN156" s="58"/>
      <c r="HO156" s="58"/>
      <c r="HP156" s="58"/>
      <c r="HQ156" s="58"/>
      <c r="HR156" s="58"/>
    </row>
    <row r="157" spans="1:226" s="30" customFormat="1" hidden="1" x14ac:dyDescent="0.3">
      <c r="A157" s="141"/>
      <c r="B157" s="141"/>
      <c r="C157" s="141"/>
      <c r="E157" s="58"/>
      <c r="F157" s="58"/>
      <c r="G157" s="58"/>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FC157" s="58"/>
      <c r="FD157" s="58"/>
      <c r="FE157" s="58"/>
      <c r="FF157" s="58"/>
      <c r="FG157" s="58"/>
      <c r="FH157" s="58"/>
      <c r="FI157" s="58"/>
      <c r="FJ157" s="58"/>
      <c r="FK157" s="58"/>
      <c r="FL157" s="58"/>
      <c r="FM157" s="58"/>
      <c r="FN157" s="58"/>
      <c r="FO157" s="58"/>
      <c r="FP157" s="58"/>
      <c r="FQ157" s="58"/>
      <c r="FR157" s="58"/>
      <c r="FS157" s="58"/>
      <c r="FT157" s="58"/>
      <c r="FU157" s="58"/>
      <c r="FV157" s="58"/>
      <c r="FW157" s="58"/>
      <c r="FX157" s="58"/>
      <c r="FY157" s="58"/>
      <c r="FZ157" s="58"/>
      <c r="GA157" s="58"/>
      <c r="GB157" s="58"/>
      <c r="GC157" s="58"/>
      <c r="GD157" s="58"/>
      <c r="GE157" s="58"/>
      <c r="GF157" s="58"/>
      <c r="GG157" s="58"/>
      <c r="GH157" s="58"/>
      <c r="GI157" s="58"/>
      <c r="GJ157" s="58"/>
      <c r="GK157" s="58"/>
      <c r="GL157" s="58"/>
      <c r="GM157" s="58"/>
      <c r="GN157" s="58"/>
      <c r="GO157" s="58"/>
      <c r="GP157" s="58"/>
      <c r="GQ157" s="58"/>
      <c r="GR157" s="58"/>
      <c r="GS157" s="58"/>
      <c r="GT157" s="58"/>
      <c r="GU157" s="58"/>
      <c r="GV157" s="58"/>
      <c r="GW157" s="58"/>
      <c r="GX157" s="58"/>
      <c r="GY157" s="58"/>
      <c r="GZ157" s="58"/>
      <c r="HA157" s="58"/>
      <c r="HB157" s="58"/>
      <c r="HC157" s="58"/>
      <c r="HD157" s="58"/>
      <c r="HE157" s="58"/>
      <c r="HF157" s="58"/>
      <c r="HG157" s="58"/>
      <c r="HH157" s="58"/>
      <c r="HI157" s="58"/>
      <c r="HJ157" s="58"/>
      <c r="HK157" s="58"/>
      <c r="HL157" s="58"/>
      <c r="HM157" s="58"/>
      <c r="HN157" s="58"/>
      <c r="HO157" s="58"/>
      <c r="HP157" s="58"/>
      <c r="HQ157" s="58"/>
      <c r="HR157" s="58"/>
    </row>
    <row r="158" spans="1:226" s="30" customFormat="1" hidden="1" x14ac:dyDescent="0.3">
      <c r="A158" s="141"/>
      <c r="B158" s="141"/>
      <c r="C158" s="141"/>
      <c r="E158" s="58"/>
      <c r="F158" s="58"/>
      <c r="G158" s="58"/>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FC158" s="58"/>
      <c r="FD158" s="58"/>
      <c r="FE158" s="58"/>
      <c r="FF158" s="58"/>
      <c r="FG158" s="58"/>
      <c r="FH158" s="58"/>
      <c r="FI158" s="58"/>
      <c r="FJ158" s="58"/>
      <c r="FK158" s="58"/>
      <c r="FL158" s="58"/>
      <c r="FM158" s="58"/>
      <c r="FN158" s="58"/>
      <c r="FO158" s="58"/>
      <c r="FP158" s="58"/>
      <c r="FQ158" s="58"/>
      <c r="FR158" s="58"/>
      <c r="FS158" s="58"/>
      <c r="FT158" s="58"/>
      <c r="FU158" s="58"/>
      <c r="FV158" s="58"/>
      <c r="FW158" s="58"/>
      <c r="FX158" s="58"/>
      <c r="FY158" s="58"/>
      <c r="FZ158" s="58"/>
      <c r="GA158" s="58"/>
      <c r="GB158" s="58"/>
      <c r="GC158" s="58"/>
      <c r="GD158" s="58"/>
      <c r="GE158" s="58"/>
      <c r="GF158" s="58"/>
      <c r="GG158" s="58"/>
      <c r="GH158" s="58"/>
      <c r="GI158" s="58"/>
      <c r="GJ158" s="58"/>
      <c r="GK158" s="58"/>
      <c r="GL158" s="58"/>
      <c r="GM158" s="58"/>
      <c r="GN158" s="58"/>
      <c r="GO158" s="58"/>
      <c r="GP158" s="58"/>
      <c r="GQ158" s="58"/>
      <c r="GR158" s="58"/>
      <c r="GS158" s="58"/>
      <c r="GT158" s="58"/>
      <c r="GU158" s="58"/>
      <c r="GV158" s="58"/>
      <c r="GW158" s="58"/>
      <c r="GX158" s="58"/>
      <c r="GY158" s="58"/>
      <c r="GZ158" s="58"/>
      <c r="HA158" s="58"/>
      <c r="HB158" s="58"/>
      <c r="HC158" s="58"/>
      <c r="HD158" s="58"/>
      <c r="HE158" s="58"/>
      <c r="HF158" s="58"/>
      <c r="HG158" s="58"/>
      <c r="HH158" s="58"/>
      <c r="HI158" s="58"/>
      <c r="HJ158" s="58"/>
      <c r="HK158" s="58"/>
      <c r="HL158" s="58"/>
      <c r="HM158" s="58"/>
      <c r="HN158" s="58"/>
      <c r="HO158" s="58"/>
      <c r="HP158" s="58"/>
      <c r="HQ158" s="58"/>
      <c r="HR158" s="58"/>
    </row>
    <row r="159" spans="1:226" s="30" customFormat="1" hidden="1" x14ac:dyDescent="0.3">
      <c r="A159" s="141"/>
      <c r="B159" s="141"/>
      <c r="C159" s="141"/>
      <c r="E159" s="58"/>
      <c r="F159" s="58"/>
      <c r="G159" s="58"/>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row>
    <row r="160" spans="1:226" s="30" customFormat="1" hidden="1" x14ac:dyDescent="0.3">
      <c r="A160" s="141"/>
      <c r="B160" s="141"/>
      <c r="C160" s="141"/>
    </row>
    <row r="161" spans="1:226" s="30" customFormat="1" hidden="1" x14ac:dyDescent="0.3">
      <c r="A161" s="141"/>
      <c r="B161" s="141"/>
      <c r="C161" s="141"/>
      <c r="E161" s="58"/>
      <c r="F161" s="58"/>
      <c r="G161" s="58"/>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FC161" s="58"/>
      <c r="FD161" s="58"/>
      <c r="FE161" s="58"/>
      <c r="FF161" s="58"/>
      <c r="FG161" s="58"/>
      <c r="FH161" s="58"/>
      <c r="FI161" s="58"/>
      <c r="FJ161" s="58"/>
      <c r="FK161" s="58"/>
      <c r="FL161" s="58"/>
      <c r="FM161" s="58"/>
      <c r="FN161" s="58"/>
      <c r="FO161" s="58"/>
      <c r="FP161" s="58"/>
      <c r="FQ161" s="58"/>
      <c r="FR161" s="58"/>
      <c r="FS161" s="58"/>
      <c r="FT161" s="58"/>
      <c r="FU161" s="58"/>
      <c r="FV161" s="58"/>
      <c r="FW161" s="58"/>
      <c r="FX161" s="58"/>
      <c r="FY161" s="58"/>
      <c r="FZ161" s="58"/>
      <c r="GA161" s="58"/>
      <c r="GB161" s="58"/>
      <c r="GC161" s="58"/>
      <c r="GD161" s="58"/>
      <c r="GE161" s="58"/>
      <c r="GF161" s="58"/>
      <c r="GG161" s="58"/>
      <c r="GH161" s="58"/>
      <c r="GI161" s="58"/>
      <c r="GJ161" s="58"/>
      <c r="GK161" s="58"/>
      <c r="GL161" s="58"/>
      <c r="GM161" s="58"/>
      <c r="GN161" s="58"/>
      <c r="GO161" s="58"/>
      <c r="GP161" s="58"/>
      <c r="GQ161" s="58"/>
      <c r="GR161" s="58"/>
      <c r="GS161" s="58"/>
      <c r="GT161" s="58"/>
      <c r="GU161" s="58"/>
      <c r="GV161" s="58"/>
      <c r="GW161" s="58"/>
      <c r="GX161" s="58"/>
      <c r="GY161" s="58"/>
      <c r="GZ161" s="58"/>
      <c r="HA161" s="58"/>
      <c r="HB161" s="58"/>
      <c r="HC161" s="58"/>
      <c r="HD161" s="58"/>
      <c r="HE161" s="58"/>
      <c r="HF161" s="58"/>
      <c r="HG161" s="58"/>
      <c r="HH161" s="58"/>
      <c r="HI161" s="58"/>
      <c r="HJ161" s="58"/>
      <c r="HK161" s="58"/>
      <c r="HL161" s="58"/>
      <c r="HM161" s="58"/>
      <c r="HN161" s="58"/>
      <c r="HO161" s="58"/>
      <c r="HP161" s="58"/>
      <c r="HQ161" s="58"/>
      <c r="HR161" s="58"/>
    </row>
    <row r="162" spans="1:226" s="30" customFormat="1" hidden="1" x14ac:dyDescent="0.3">
      <c r="A162" s="141"/>
      <c r="B162" s="141"/>
      <c r="C162" s="141"/>
      <c r="E162" s="58"/>
      <c r="F162" s="58"/>
      <c r="G162" s="58"/>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FC162" s="58"/>
      <c r="FD162" s="58"/>
      <c r="FE162" s="58"/>
      <c r="FF162" s="58"/>
      <c r="FG162" s="58"/>
      <c r="FH162" s="58"/>
      <c r="FI162" s="58"/>
      <c r="FJ162" s="58"/>
      <c r="FK162" s="58"/>
      <c r="FL162" s="58"/>
      <c r="FM162" s="58"/>
      <c r="FN162" s="58"/>
      <c r="FO162" s="58"/>
      <c r="FP162" s="58"/>
      <c r="FQ162" s="58"/>
      <c r="FR162" s="58"/>
      <c r="FS162" s="58"/>
      <c r="FT162" s="58"/>
      <c r="FU162" s="58"/>
      <c r="FV162" s="58"/>
      <c r="FW162" s="58"/>
      <c r="FX162" s="58"/>
      <c r="FY162" s="58"/>
      <c r="FZ162" s="58"/>
      <c r="GA162" s="58"/>
      <c r="GB162" s="58"/>
      <c r="GC162" s="58"/>
      <c r="GD162" s="58"/>
      <c r="GE162" s="58"/>
      <c r="GF162" s="58"/>
      <c r="GG162" s="58"/>
      <c r="GH162" s="58"/>
      <c r="GI162" s="58"/>
      <c r="GJ162" s="58"/>
      <c r="GK162" s="58"/>
      <c r="GL162" s="58"/>
      <c r="GM162" s="58"/>
      <c r="GN162" s="58"/>
      <c r="GO162" s="58"/>
      <c r="GP162" s="58"/>
      <c r="GQ162" s="58"/>
      <c r="GR162" s="58"/>
      <c r="GS162" s="58"/>
      <c r="GT162" s="58"/>
      <c r="GU162" s="58"/>
      <c r="GV162" s="58"/>
      <c r="GW162" s="58"/>
      <c r="GX162" s="58"/>
      <c r="GY162" s="58"/>
      <c r="GZ162" s="58"/>
      <c r="HA162" s="58"/>
      <c r="HB162" s="58"/>
      <c r="HC162" s="58"/>
      <c r="HD162" s="58"/>
      <c r="HE162" s="58"/>
      <c r="HF162" s="58"/>
      <c r="HG162" s="58"/>
      <c r="HH162" s="58"/>
      <c r="HI162" s="58"/>
      <c r="HJ162" s="58"/>
      <c r="HK162" s="58"/>
      <c r="HL162" s="58"/>
      <c r="HM162" s="58"/>
      <c r="HN162" s="58"/>
      <c r="HO162" s="58"/>
      <c r="HP162" s="58"/>
      <c r="HQ162" s="58"/>
      <c r="HR162" s="58"/>
    </row>
    <row r="163" spans="1:226" s="30" customFormat="1" hidden="1" x14ac:dyDescent="0.3">
      <c r="A163" s="141"/>
      <c r="B163" s="141"/>
      <c r="C163" s="141"/>
      <c r="E163" s="58"/>
      <c r="F163" s="58"/>
      <c r="G163" s="58"/>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FC163" s="58"/>
      <c r="FD163" s="58"/>
      <c r="FE163" s="58"/>
      <c r="FF163" s="58"/>
      <c r="FG163" s="58"/>
      <c r="FH163" s="58"/>
      <c r="FI163" s="58"/>
      <c r="FJ163" s="58"/>
      <c r="FK163" s="58"/>
      <c r="FL163" s="58"/>
      <c r="FM163" s="58"/>
      <c r="FN163" s="58"/>
      <c r="FO163" s="58"/>
      <c r="FP163" s="58"/>
      <c r="FQ163" s="58"/>
      <c r="FR163" s="58"/>
      <c r="FS163" s="58"/>
      <c r="FT163" s="58"/>
      <c r="FU163" s="58"/>
      <c r="FV163" s="58"/>
      <c r="FW163" s="58"/>
      <c r="FX163" s="58"/>
      <c r="FY163" s="58"/>
      <c r="FZ163" s="58"/>
      <c r="GA163" s="58"/>
      <c r="GB163" s="58"/>
      <c r="GC163" s="58"/>
      <c r="GD163" s="58"/>
      <c r="GE163" s="58"/>
      <c r="GF163" s="58"/>
      <c r="GG163" s="58"/>
      <c r="GH163" s="58"/>
      <c r="GI163" s="58"/>
      <c r="GJ163" s="58"/>
      <c r="GK163" s="58"/>
      <c r="GL163" s="58"/>
      <c r="GM163" s="58"/>
      <c r="GN163" s="58"/>
      <c r="GO163" s="58"/>
      <c r="GP163" s="58"/>
      <c r="GQ163" s="58"/>
      <c r="GR163" s="58"/>
      <c r="GS163" s="58"/>
      <c r="GT163" s="58"/>
      <c r="GU163" s="58"/>
      <c r="GV163" s="58"/>
      <c r="GW163" s="58"/>
      <c r="GX163" s="58"/>
      <c r="GY163" s="58"/>
      <c r="GZ163" s="58"/>
      <c r="HA163" s="58"/>
      <c r="HB163" s="58"/>
      <c r="HC163" s="58"/>
      <c r="HD163" s="58"/>
      <c r="HE163" s="58"/>
      <c r="HF163" s="58"/>
      <c r="HG163" s="58"/>
      <c r="HH163" s="58"/>
      <c r="HI163" s="58"/>
      <c r="HJ163" s="58"/>
      <c r="HK163" s="58"/>
      <c r="HL163" s="58"/>
      <c r="HM163" s="58"/>
      <c r="HN163" s="58"/>
      <c r="HO163" s="58"/>
      <c r="HP163" s="58"/>
      <c r="HQ163" s="58"/>
      <c r="HR163" s="58"/>
    </row>
    <row r="164" spans="1:226" s="30" customFormat="1" hidden="1" x14ac:dyDescent="0.3">
      <c r="A164" s="141"/>
      <c r="B164" s="141"/>
      <c r="C164" s="141"/>
      <c r="E164" s="58"/>
      <c r="F164" s="58"/>
      <c r="G164" s="58"/>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row>
    <row r="165" spans="1:226" s="30" customFormat="1" hidden="1" x14ac:dyDescent="0.3">
      <c r="A165" s="141"/>
      <c r="B165" s="141"/>
      <c r="C165" s="141"/>
    </row>
    <row r="166" spans="1:226" s="30" customFormat="1" hidden="1" x14ac:dyDescent="0.3">
      <c r="A166" s="141"/>
      <c r="B166" s="141"/>
      <c r="C166" s="141"/>
    </row>
    <row r="167" spans="1:226" s="30" customFormat="1" hidden="1" x14ac:dyDescent="0.3">
      <c r="A167" s="141"/>
      <c r="B167" s="141"/>
      <c r="C167" s="141"/>
      <c r="E167" s="58"/>
      <c r="F167" s="58"/>
      <c r="G167" s="58"/>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FC167" s="58"/>
      <c r="FD167" s="58"/>
      <c r="FE167" s="58"/>
      <c r="FF167" s="58"/>
      <c r="FG167" s="58"/>
      <c r="FH167" s="58"/>
      <c r="FI167" s="58"/>
      <c r="FJ167" s="58"/>
      <c r="FK167" s="58"/>
      <c r="FL167" s="58"/>
      <c r="FM167" s="58"/>
      <c r="FN167" s="58"/>
      <c r="FO167" s="58"/>
      <c r="FP167" s="58"/>
      <c r="FQ167" s="58"/>
      <c r="FR167" s="58"/>
      <c r="FS167" s="58"/>
      <c r="FT167" s="58"/>
      <c r="FU167" s="58"/>
      <c r="FV167" s="58"/>
      <c r="FW167" s="58"/>
      <c r="FX167" s="58"/>
      <c r="FY167" s="58"/>
      <c r="FZ167" s="58"/>
      <c r="GA167" s="58"/>
      <c r="GB167" s="58"/>
      <c r="GC167" s="58"/>
      <c r="GD167" s="58"/>
      <c r="GE167" s="58"/>
      <c r="GF167" s="58"/>
      <c r="GG167" s="58"/>
      <c r="GH167" s="58"/>
      <c r="GI167" s="58"/>
      <c r="GJ167" s="58"/>
      <c r="GK167" s="58"/>
      <c r="GL167" s="58"/>
      <c r="GM167" s="58"/>
      <c r="GN167" s="58"/>
      <c r="GO167" s="58"/>
      <c r="GP167" s="58"/>
      <c r="GQ167" s="58"/>
      <c r="GR167" s="58"/>
      <c r="GS167" s="58"/>
      <c r="GT167" s="58"/>
      <c r="GU167" s="58"/>
      <c r="GV167" s="58"/>
      <c r="GW167" s="58"/>
      <c r="GX167" s="58"/>
      <c r="GY167" s="58"/>
      <c r="GZ167" s="58"/>
      <c r="HA167" s="58"/>
      <c r="HB167" s="58"/>
      <c r="HC167" s="58"/>
      <c r="HD167" s="58"/>
      <c r="HE167" s="58"/>
      <c r="HF167" s="58"/>
      <c r="HG167" s="58"/>
      <c r="HH167" s="58"/>
      <c r="HI167" s="58"/>
      <c r="HJ167" s="58"/>
      <c r="HK167" s="58"/>
      <c r="HL167" s="58"/>
      <c r="HM167" s="58"/>
      <c r="HN167" s="58"/>
      <c r="HO167" s="58"/>
      <c r="HP167" s="58"/>
      <c r="HQ167" s="58"/>
      <c r="HR167" s="58"/>
    </row>
    <row r="168" spans="1:226" s="30" customFormat="1" hidden="1" x14ac:dyDescent="0.3">
      <c r="A168" s="141"/>
      <c r="B168" s="141"/>
      <c r="C168" s="141"/>
      <c r="E168" s="58"/>
      <c r="F168" s="58"/>
      <c r="G168" s="58"/>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FC168" s="58"/>
      <c r="FD168" s="58"/>
      <c r="FE168" s="58"/>
      <c r="FF168" s="58"/>
      <c r="FG168" s="58"/>
      <c r="FH168" s="58"/>
      <c r="FI168" s="58"/>
      <c r="FJ168" s="58"/>
      <c r="FK168" s="58"/>
      <c r="FL168" s="58"/>
      <c r="FM168" s="58"/>
      <c r="FN168" s="58"/>
      <c r="FO168" s="58"/>
      <c r="FP168" s="58"/>
      <c r="FQ168" s="58"/>
      <c r="FR168" s="58"/>
      <c r="FS168" s="58"/>
      <c r="FT168" s="58"/>
      <c r="FU168" s="58"/>
      <c r="FV168" s="58"/>
      <c r="FW168" s="58"/>
      <c r="FX168" s="58"/>
      <c r="FY168" s="58"/>
      <c r="FZ168" s="58"/>
      <c r="GA168" s="58"/>
      <c r="GB168" s="58"/>
      <c r="GC168" s="58"/>
      <c r="GD168" s="58"/>
      <c r="GE168" s="58"/>
      <c r="GF168" s="58"/>
      <c r="GG168" s="58"/>
      <c r="GH168" s="58"/>
      <c r="GI168" s="58"/>
      <c r="GJ168" s="58"/>
      <c r="GK168" s="58"/>
      <c r="GL168" s="58"/>
      <c r="GM168" s="58"/>
      <c r="GN168" s="58"/>
      <c r="GO168" s="58"/>
      <c r="GP168" s="58"/>
      <c r="GQ168" s="58"/>
      <c r="GR168" s="58"/>
      <c r="GS168" s="58"/>
      <c r="GT168" s="58"/>
      <c r="GU168" s="58"/>
      <c r="GV168" s="58"/>
      <c r="GW168" s="58"/>
      <c r="GX168" s="58"/>
      <c r="GY168" s="58"/>
      <c r="GZ168" s="58"/>
      <c r="HA168" s="58"/>
      <c r="HB168" s="58"/>
      <c r="HC168" s="58"/>
      <c r="HD168" s="58"/>
      <c r="HE168" s="58"/>
      <c r="HF168" s="58"/>
      <c r="HG168" s="58"/>
      <c r="HH168" s="58"/>
      <c r="HI168" s="58"/>
      <c r="HJ168" s="58"/>
      <c r="HK168" s="58"/>
      <c r="HL168" s="58"/>
      <c r="HM168" s="58"/>
      <c r="HN168" s="58"/>
      <c r="HO168" s="58"/>
      <c r="HP168" s="58"/>
      <c r="HQ168" s="58"/>
      <c r="HR168" s="58"/>
    </row>
    <row r="169" spans="1:226" s="30" customFormat="1" hidden="1" x14ac:dyDescent="0.3">
      <c r="A169" s="141"/>
      <c r="B169" s="141"/>
      <c r="C169" s="141"/>
      <c r="E169" s="58"/>
      <c r="F169" s="58"/>
      <c r="G169" s="58"/>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FC169" s="58"/>
      <c r="FD169" s="58"/>
      <c r="FE169" s="58"/>
      <c r="FF169" s="58"/>
      <c r="FG169" s="58"/>
      <c r="FH169" s="58"/>
      <c r="FI169" s="58"/>
      <c r="FJ169" s="58"/>
      <c r="FK169" s="58"/>
      <c r="FL169" s="58"/>
      <c r="FM169" s="58"/>
      <c r="FN169" s="58"/>
      <c r="FO169" s="58"/>
      <c r="FP169" s="58"/>
      <c r="FQ169" s="58"/>
      <c r="FR169" s="58"/>
      <c r="FS169" s="58"/>
      <c r="FT169" s="58"/>
      <c r="FU169" s="58"/>
      <c r="FV169" s="58"/>
      <c r="FW169" s="58"/>
      <c r="FX169" s="58"/>
      <c r="FY169" s="58"/>
      <c r="FZ169" s="58"/>
      <c r="GA169" s="58"/>
      <c r="GB169" s="58"/>
      <c r="GC169" s="58"/>
      <c r="GD169" s="58"/>
      <c r="GE169" s="58"/>
      <c r="GF169" s="58"/>
      <c r="GG169" s="58"/>
      <c r="GH169" s="58"/>
      <c r="GI169" s="58"/>
      <c r="GJ169" s="58"/>
      <c r="GK169" s="58"/>
      <c r="GL169" s="58"/>
      <c r="GM169" s="58"/>
      <c r="GN169" s="58"/>
      <c r="GO169" s="58"/>
      <c r="GP169" s="58"/>
      <c r="GQ169" s="58"/>
      <c r="GR169" s="58"/>
      <c r="GS169" s="58"/>
      <c r="GT169" s="58"/>
      <c r="GU169" s="58"/>
      <c r="GV169" s="58"/>
      <c r="GW169" s="58"/>
      <c r="GX169" s="58"/>
      <c r="GY169" s="58"/>
      <c r="GZ169" s="58"/>
      <c r="HA169" s="58"/>
      <c r="HB169" s="58"/>
      <c r="HC169" s="58"/>
      <c r="HD169" s="58"/>
      <c r="HE169" s="58"/>
      <c r="HF169" s="58"/>
      <c r="HG169" s="58"/>
      <c r="HH169" s="58"/>
      <c r="HI169" s="58"/>
      <c r="HJ169" s="58"/>
      <c r="HK169" s="58"/>
      <c r="HL169" s="58"/>
      <c r="HM169" s="58"/>
      <c r="HN169" s="58"/>
      <c r="HO169" s="58"/>
      <c r="HP169" s="58"/>
      <c r="HQ169" s="58"/>
      <c r="HR169" s="58"/>
    </row>
    <row r="170" spans="1:226" s="30" customFormat="1" x14ac:dyDescent="0.3">
      <c r="A170" s="141"/>
      <c r="B170" s="141"/>
      <c r="C170" s="141"/>
      <c r="E170" s="58"/>
      <c r="F170" s="58"/>
      <c r="G170" s="58"/>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row>
    <row r="171" spans="1:226" s="30" customFormat="1" x14ac:dyDescent="0.3">
      <c r="A171" s="141"/>
      <c r="B171" s="141"/>
      <c r="C171" s="141"/>
    </row>
  </sheetData>
  <autoFilter ref="A3:C169" xr:uid="{00000000-0009-0000-0000-000002000000}">
    <filterColumn colId="0">
      <filters>
        <filter val="15C ADE"/>
        <filter val="Accessibilité ERI Audits"/>
        <filter val="Adhésion Selfcare LCL"/>
        <filter val="Versement Régulier Selfcare"/>
      </filters>
    </filterColumn>
  </autoFilter>
  <dataConsolidate/>
  <mergeCells count="28">
    <mergeCell ref="A1:C2"/>
    <mergeCell ref="HT2:IN2"/>
    <mergeCell ref="IO2:JI2"/>
    <mergeCell ref="E1:W1"/>
    <mergeCell ref="X1:AY1"/>
    <mergeCell ref="AZ1:CD1"/>
    <mergeCell ref="CE1:DH1"/>
    <mergeCell ref="DI1:EM1"/>
    <mergeCell ref="EN1:FQ1"/>
    <mergeCell ref="FR1:GV1"/>
    <mergeCell ref="GW1:IA1"/>
    <mergeCell ref="IB1:JE1"/>
    <mergeCell ref="JR2:JT2"/>
    <mergeCell ref="JX2:KR2"/>
    <mergeCell ref="JF1:KJ1"/>
    <mergeCell ref="KK1:LN1"/>
    <mergeCell ref="F2:H2"/>
    <mergeCell ref="K2:AE2"/>
    <mergeCell ref="AF2:AZ2"/>
    <mergeCell ref="BA2:BU2"/>
    <mergeCell ref="CC2:CE2"/>
    <mergeCell ref="CJ2:DD2"/>
    <mergeCell ref="DE2:DY2"/>
    <mergeCell ref="DZ2:ET2"/>
    <mergeCell ref="EU2:FO2"/>
    <mergeCell ref="FW2:FY2"/>
    <mergeCell ref="GD2:GX2"/>
    <mergeCell ref="GY2:HS2"/>
  </mergeCells>
  <conditionalFormatting sqref="A3:XFD3">
    <cfRule type="expression" dxfId="4" priority="3">
      <formula>IF(TEXT(A$3,"JJ/MM/AAAA")=TEXT(TODAY(),"JJ/MM/AAAA"),1,0)</formula>
    </cfRule>
  </conditionalFormatting>
  <conditionalFormatting sqref="E3:KV8 E10:KV180 E9:EF9 EI9:KV9">
    <cfRule type="expression" dxfId="3" priority="4">
      <formula>IF(ISTEXT(TEXT(VLOOKUP(E$3,Férié,1,FALSE),"JJ/MM/AAAA")),1,0)</formula>
    </cfRule>
    <cfRule type="expression" dxfId="2" priority="5">
      <formula>IF(OR(WEEKDAY(E$3,2)=6,WEEKDAY(E$3,2)=7),1,0)</formula>
    </cfRule>
  </conditionalFormatting>
  <conditionalFormatting sqref="EG9">
    <cfRule type="expression" dxfId="1" priority="15">
      <formula>IF(ISTEXT(TEXT(VLOOKUP(EH$3,Férié,1,FALSE),"JJ/MM/AAAA")),1,0)</formula>
    </cfRule>
    <cfRule type="expression" dxfId="0" priority="16">
      <formula>IF(OR(WEEKDAY(EH$3,2)=6,WEEKDAY(EH$3,2)=7),1,0)</formula>
    </cfRule>
  </conditionalFormatting>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AA59"/>
  <sheetViews>
    <sheetView zoomScale="90" zoomScaleNormal="90" workbookViewId="0">
      <selection activeCell="U31" sqref="U31"/>
    </sheetView>
  </sheetViews>
  <sheetFormatPr baseColWidth="10" defaultColWidth="11.44140625" defaultRowHeight="14.4" x14ac:dyDescent="0.3"/>
  <cols>
    <col min="1" max="1" width="11.44140625" bestFit="1" customWidth="1"/>
    <col min="2" max="2" width="11.5546875" bestFit="1" customWidth="1"/>
    <col min="3" max="3" width="2" hidden="1" customWidth="1"/>
    <col min="4" max="4" width="3.5546875" customWidth="1"/>
    <col min="5" max="5" width="20.77734375" customWidth="1"/>
    <col min="6" max="6" width="45.77734375" bestFit="1" customWidth="1"/>
    <col min="7" max="7" width="4.5546875" bestFit="1" customWidth="1"/>
    <col min="8" max="8" width="3.5546875" customWidth="1"/>
    <col min="9" max="9" width="14.44140625" bestFit="1" customWidth="1"/>
    <col min="10" max="10" width="32.77734375" bestFit="1" customWidth="1"/>
    <col min="11" max="11" width="7" customWidth="1"/>
    <col min="12" max="12" width="3.5546875" customWidth="1"/>
    <col min="13" max="13" width="19.5546875" bestFit="1" customWidth="1"/>
    <col min="14" max="14" width="18.44140625" bestFit="1" customWidth="1"/>
    <col min="15" max="15" width="4.5546875" bestFit="1" customWidth="1"/>
    <col min="16" max="18" width="4.44140625" bestFit="1" customWidth="1"/>
    <col min="19" max="19" width="2.5546875" customWidth="1"/>
    <col min="20" max="20" width="4.5546875" customWidth="1"/>
    <col min="21" max="21" width="3.5546875" customWidth="1"/>
    <col min="23" max="23" width="11.5546875" bestFit="1" customWidth="1"/>
    <col min="24" max="25" width="1.5546875" customWidth="1"/>
    <col min="26" max="26" width="14.5546875" bestFit="1" customWidth="1"/>
  </cols>
  <sheetData>
    <row r="1" spans="1:27" x14ac:dyDescent="0.3">
      <c r="A1" t="s">
        <v>59</v>
      </c>
      <c r="B1" s="5">
        <v>46035</v>
      </c>
      <c r="C1">
        <f>COLUMN(Col_Date_Début)</f>
        <v>5</v>
      </c>
      <c r="D1" s="6"/>
      <c r="E1" s="199" t="s">
        <v>60</v>
      </c>
      <c r="F1" s="199"/>
      <c r="G1" s="199"/>
      <c r="H1" s="1"/>
      <c r="I1" s="199" t="s">
        <v>1</v>
      </c>
      <c r="J1" s="199"/>
      <c r="K1" s="199"/>
      <c r="L1" s="1"/>
      <c r="M1" s="199" t="s">
        <v>2</v>
      </c>
      <c r="N1" s="199"/>
      <c r="O1" s="199"/>
      <c r="P1" s="199"/>
      <c r="Q1" s="199"/>
      <c r="R1" s="199"/>
      <c r="S1" s="1"/>
      <c r="T1" s="1"/>
      <c r="V1" t="s">
        <v>113</v>
      </c>
      <c r="W1" s="5">
        <v>46036</v>
      </c>
      <c r="Z1" t="s">
        <v>163</v>
      </c>
      <c r="AA1" s="39">
        <v>20</v>
      </c>
    </row>
    <row r="2" spans="1:27" x14ac:dyDescent="0.3">
      <c r="A2" t="s">
        <v>61</v>
      </c>
      <c r="B2" s="144">
        <f>MAX(Planning!3:3)</f>
        <v>46338</v>
      </c>
      <c r="E2" s="3" t="s">
        <v>62</v>
      </c>
      <c r="F2" s="3" t="s">
        <v>63</v>
      </c>
      <c r="G2" s="3" t="s">
        <v>64</v>
      </c>
      <c r="I2" s="3" t="s">
        <v>62</v>
      </c>
      <c r="J2" s="3" t="s">
        <v>63</v>
      </c>
      <c r="K2" s="3" t="s">
        <v>64</v>
      </c>
      <c r="M2" s="3" t="s">
        <v>65</v>
      </c>
      <c r="N2" s="3" t="s">
        <v>150</v>
      </c>
      <c r="O2" s="3" t="s">
        <v>64</v>
      </c>
      <c r="P2" s="199" t="s">
        <v>67</v>
      </c>
      <c r="Q2" s="199"/>
      <c r="R2" s="199"/>
      <c r="S2" s="1"/>
      <c r="T2" s="1"/>
      <c r="V2" t="s">
        <v>114</v>
      </c>
      <c r="W2" s="5">
        <v>46041</v>
      </c>
    </row>
    <row r="3" spans="1:27" x14ac:dyDescent="0.3">
      <c r="A3" t="s">
        <v>68</v>
      </c>
      <c r="B3" s="5">
        <v>45292</v>
      </c>
      <c r="C3" s="6"/>
      <c r="D3" s="6"/>
      <c r="E3" s="32" t="s">
        <v>252</v>
      </c>
      <c r="F3" s="32" t="s">
        <v>254</v>
      </c>
      <c r="G3" s="2" t="s">
        <v>251</v>
      </c>
      <c r="I3" s="2" t="s">
        <v>6</v>
      </c>
      <c r="J3" s="2" t="s">
        <v>51</v>
      </c>
      <c r="K3" s="2" t="s">
        <v>70</v>
      </c>
      <c r="M3" s="2" t="s">
        <v>7</v>
      </c>
      <c r="N3" s="22" t="s">
        <v>7</v>
      </c>
      <c r="O3" s="22" t="s">
        <v>8</v>
      </c>
      <c r="P3" s="7">
        <v>100</v>
      </c>
      <c r="Q3" s="7">
        <v>100</v>
      </c>
      <c r="R3" s="7">
        <v>200</v>
      </c>
      <c r="T3" s="8"/>
      <c r="V3" t="s">
        <v>115</v>
      </c>
      <c r="W3" s="5">
        <v>46062</v>
      </c>
    </row>
    <row r="4" spans="1:27" x14ac:dyDescent="0.3">
      <c r="B4" s="5">
        <v>45383</v>
      </c>
      <c r="C4" s="6"/>
      <c r="D4" s="6"/>
      <c r="E4" s="32" t="s">
        <v>253</v>
      </c>
      <c r="F4" s="32" t="s">
        <v>255</v>
      </c>
      <c r="G4" s="2" t="s">
        <v>260</v>
      </c>
      <c r="I4" s="2" t="s">
        <v>11</v>
      </c>
      <c r="J4" s="2" t="s">
        <v>52</v>
      </c>
      <c r="K4" s="2" t="s">
        <v>72</v>
      </c>
      <c r="M4" s="2" t="s">
        <v>38</v>
      </c>
      <c r="N4" s="2" t="s">
        <v>38</v>
      </c>
      <c r="O4" s="2" t="s">
        <v>39</v>
      </c>
      <c r="P4" s="7">
        <v>25</v>
      </c>
      <c r="Q4" s="7">
        <v>160</v>
      </c>
      <c r="R4" s="7">
        <v>160</v>
      </c>
      <c r="T4" s="18"/>
      <c r="V4" t="s">
        <v>116</v>
      </c>
      <c r="W4" s="5">
        <v>46083</v>
      </c>
    </row>
    <row r="5" spans="1:27" x14ac:dyDescent="0.3">
      <c r="B5" s="5">
        <v>45413</v>
      </c>
      <c r="C5" s="6"/>
      <c r="D5" s="6"/>
      <c r="E5" s="32" t="s">
        <v>256</v>
      </c>
      <c r="F5" s="32" t="s">
        <v>257</v>
      </c>
      <c r="G5" s="2" t="s">
        <v>261</v>
      </c>
      <c r="I5" s="2" t="s">
        <v>15</v>
      </c>
      <c r="J5" s="2" t="s">
        <v>53</v>
      </c>
      <c r="K5" s="2" t="s">
        <v>74</v>
      </c>
      <c r="M5" s="2" t="s">
        <v>14</v>
      </c>
      <c r="N5" s="2" t="s">
        <v>14</v>
      </c>
      <c r="O5" s="2" t="s">
        <v>75</v>
      </c>
      <c r="P5" s="7">
        <v>10</v>
      </c>
      <c r="Q5" s="7">
        <v>80</v>
      </c>
      <c r="R5" s="7">
        <v>120</v>
      </c>
      <c r="T5" s="9"/>
      <c r="V5" t="s">
        <v>117</v>
      </c>
      <c r="W5" s="5"/>
    </row>
    <row r="6" spans="1:27" x14ac:dyDescent="0.3">
      <c r="B6" s="5">
        <v>45420</v>
      </c>
      <c r="C6" s="6"/>
      <c r="D6" s="6"/>
      <c r="E6" s="32" t="s">
        <v>258</v>
      </c>
      <c r="F6" s="32" t="s">
        <v>259</v>
      </c>
      <c r="G6" s="2" t="s">
        <v>262</v>
      </c>
      <c r="I6" s="2" t="s">
        <v>19</v>
      </c>
      <c r="J6" s="2" t="s">
        <v>54</v>
      </c>
      <c r="K6" s="2" t="s">
        <v>77</v>
      </c>
      <c r="M6" s="2" t="s">
        <v>78</v>
      </c>
      <c r="N6" s="2" t="s">
        <v>78</v>
      </c>
      <c r="O6" s="2" t="s">
        <v>13</v>
      </c>
      <c r="P6" s="7">
        <v>20</v>
      </c>
      <c r="Q6" s="7">
        <v>200</v>
      </c>
      <c r="R6" s="7">
        <v>200</v>
      </c>
      <c r="T6" s="10"/>
      <c r="V6" t="s">
        <v>118</v>
      </c>
      <c r="W6" s="5">
        <v>46111</v>
      </c>
    </row>
    <row r="7" spans="1:27" x14ac:dyDescent="0.3">
      <c r="B7" s="5">
        <v>45421</v>
      </c>
      <c r="C7" s="6"/>
      <c r="D7" s="6"/>
      <c r="E7" s="24" t="s">
        <v>299</v>
      </c>
      <c r="F7" s="24" t="s">
        <v>300</v>
      </c>
      <c r="G7" s="24" t="s">
        <v>298</v>
      </c>
      <c r="I7" s="2" t="s">
        <v>80</v>
      </c>
      <c r="J7" s="2" t="s">
        <v>81</v>
      </c>
      <c r="K7" s="2" t="s">
        <v>82</v>
      </c>
      <c r="M7" s="2" t="s">
        <v>16</v>
      </c>
      <c r="N7" s="2" t="s">
        <v>83</v>
      </c>
      <c r="O7" s="2" t="s">
        <v>17</v>
      </c>
      <c r="P7" s="7">
        <v>180</v>
      </c>
      <c r="Q7" s="7">
        <v>20</v>
      </c>
      <c r="R7" s="7">
        <v>180</v>
      </c>
      <c r="T7" s="53"/>
      <c r="V7" t="s">
        <v>119</v>
      </c>
      <c r="W7" s="5">
        <v>46118</v>
      </c>
    </row>
    <row r="8" spans="1:27" x14ac:dyDescent="0.3">
      <c r="B8" s="5">
        <v>45432</v>
      </c>
      <c r="C8" s="6"/>
      <c r="D8" s="6"/>
      <c r="E8" s="24" t="s">
        <v>323</v>
      </c>
      <c r="F8" s="24" t="s">
        <v>425</v>
      </c>
      <c r="G8" s="24" t="s">
        <v>303</v>
      </c>
      <c r="I8" s="2" t="s">
        <v>21</v>
      </c>
      <c r="J8" s="2" t="s">
        <v>55</v>
      </c>
      <c r="K8" s="2" t="s">
        <v>85</v>
      </c>
      <c r="M8" s="2" t="s">
        <v>222</v>
      </c>
      <c r="N8" s="2" t="s">
        <v>83</v>
      </c>
      <c r="O8" s="2" t="s">
        <v>20</v>
      </c>
      <c r="P8" s="7">
        <v>180</v>
      </c>
      <c r="Q8" s="7">
        <v>20</v>
      </c>
      <c r="R8" s="7">
        <v>180</v>
      </c>
      <c r="T8" s="53"/>
      <c r="V8" t="s">
        <v>120</v>
      </c>
      <c r="W8" s="5">
        <v>46139</v>
      </c>
    </row>
    <row r="9" spans="1:27" x14ac:dyDescent="0.3">
      <c r="B9" s="5">
        <v>45487</v>
      </c>
      <c r="C9" s="6"/>
      <c r="D9" s="6"/>
      <c r="E9" s="24" t="s">
        <v>329</v>
      </c>
      <c r="F9" s="24" t="s">
        <v>426</v>
      </c>
      <c r="G9" s="24" t="s">
        <v>327</v>
      </c>
      <c r="I9" s="2" t="s">
        <v>89</v>
      </c>
      <c r="J9" s="2" t="s">
        <v>90</v>
      </c>
      <c r="K9" s="2" t="s">
        <v>91</v>
      </c>
      <c r="M9" s="2" t="s">
        <v>224</v>
      </c>
      <c r="N9" s="2" t="s">
        <v>83</v>
      </c>
      <c r="O9" s="2" t="s">
        <v>92</v>
      </c>
      <c r="P9" s="7">
        <v>180</v>
      </c>
      <c r="Q9" s="7">
        <v>20</v>
      </c>
      <c r="R9" s="7">
        <v>180</v>
      </c>
      <c r="T9" s="53"/>
      <c r="V9" t="s">
        <v>121</v>
      </c>
      <c r="W9" s="5">
        <v>46160</v>
      </c>
    </row>
    <row r="10" spans="1:27" x14ac:dyDescent="0.3">
      <c r="B10" s="5">
        <v>45519</v>
      </c>
      <c r="C10" s="6"/>
      <c r="D10" s="6"/>
      <c r="E10" s="24" t="s">
        <v>331</v>
      </c>
      <c r="F10" s="24" t="s">
        <v>427</v>
      </c>
      <c r="G10" s="24" t="s">
        <v>328</v>
      </c>
      <c r="I10" s="2" t="s">
        <v>94</v>
      </c>
      <c r="J10" s="2" t="s">
        <v>95</v>
      </c>
      <c r="K10" s="2" t="s">
        <v>96</v>
      </c>
      <c r="M10" s="2" t="s">
        <v>18</v>
      </c>
      <c r="N10" s="2" t="s">
        <v>86</v>
      </c>
      <c r="O10" s="2" t="s">
        <v>98</v>
      </c>
      <c r="P10" s="7">
        <v>30</v>
      </c>
      <c r="Q10" s="7">
        <v>30</v>
      </c>
      <c r="R10" s="7">
        <v>220</v>
      </c>
      <c r="T10" s="23"/>
      <c r="V10" t="s">
        <v>122</v>
      </c>
      <c r="W10" s="5">
        <v>46181</v>
      </c>
    </row>
    <row r="11" spans="1:27" x14ac:dyDescent="0.3">
      <c r="B11" s="5">
        <v>45597</v>
      </c>
      <c r="C11" s="6"/>
      <c r="D11" s="6"/>
      <c r="E11" s="24" t="s">
        <v>337</v>
      </c>
      <c r="F11" s="24" t="s">
        <v>338</v>
      </c>
      <c r="G11" s="24" t="s">
        <v>336</v>
      </c>
      <c r="I11" s="2" t="s">
        <v>26</v>
      </c>
      <c r="J11" s="2" t="s">
        <v>371</v>
      </c>
      <c r="K11" s="2" t="s">
        <v>99</v>
      </c>
      <c r="M11" s="2" t="s">
        <v>10</v>
      </c>
      <c r="N11" s="2" t="s">
        <v>390</v>
      </c>
      <c r="O11" s="2" t="s">
        <v>101</v>
      </c>
      <c r="P11" s="7">
        <v>50</v>
      </c>
      <c r="Q11" s="7">
        <v>140</v>
      </c>
      <c r="R11" s="7">
        <v>10</v>
      </c>
      <c r="T11" s="14"/>
      <c r="V11" t="s">
        <v>40</v>
      </c>
      <c r="W11" s="5">
        <v>46209</v>
      </c>
    </row>
    <row r="12" spans="1:27" x14ac:dyDescent="0.3">
      <c r="B12" s="5">
        <v>45607</v>
      </c>
      <c r="C12" s="6"/>
      <c r="D12" s="6"/>
      <c r="E12" s="24" t="s">
        <v>340</v>
      </c>
      <c r="F12" s="24" t="s">
        <v>339</v>
      </c>
      <c r="G12" s="24" t="s">
        <v>341</v>
      </c>
      <c r="I12" s="2" t="s">
        <v>145</v>
      </c>
      <c r="J12" s="2" t="s">
        <v>57</v>
      </c>
      <c r="K12" s="2" t="s">
        <v>102</v>
      </c>
      <c r="M12" s="2" t="s">
        <v>32</v>
      </c>
      <c r="N12" s="2" t="s">
        <v>97</v>
      </c>
      <c r="O12" s="2" t="s">
        <v>23</v>
      </c>
      <c r="P12" s="7">
        <v>100</v>
      </c>
      <c r="Q12" s="7">
        <v>40</v>
      </c>
      <c r="R12" s="7">
        <v>40</v>
      </c>
      <c r="T12" s="16"/>
      <c r="V12" t="s">
        <v>41</v>
      </c>
      <c r="W12" s="5">
        <v>46216</v>
      </c>
    </row>
    <row r="13" spans="1:27" x14ac:dyDescent="0.3">
      <c r="B13" s="5">
        <v>45651</v>
      </c>
      <c r="C13" s="6"/>
      <c r="D13" s="6"/>
      <c r="E13" s="24" t="s">
        <v>350</v>
      </c>
      <c r="F13" s="24" t="s">
        <v>351</v>
      </c>
      <c r="G13" s="24" t="s">
        <v>352</v>
      </c>
      <c r="I13" s="2" t="s">
        <v>144</v>
      </c>
      <c r="J13" s="2" t="s">
        <v>56</v>
      </c>
      <c r="K13" s="2" t="s">
        <v>104</v>
      </c>
      <c r="M13" s="2" t="s">
        <v>100</v>
      </c>
      <c r="N13" s="2" t="s">
        <v>100</v>
      </c>
      <c r="O13" s="2" t="s">
        <v>106</v>
      </c>
      <c r="P13" s="7">
        <v>160</v>
      </c>
      <c r="Q13" s="7">
        <v>60</v>
      </c>
      <c r="R13" s="7">
        <v>60</v>
      </c>
      <c r="T13" s="29"/>
      <c r="V13" t="s">
        <v>42</v>
      </c>
      <c r="W13" s="5">
        <v>46237</v>
      </c>
    </row>
    <row r="14" spans="1:27" x14ac:dyDescent="0.3">
      <c r="B14" s="5">
        <v>45658</v>
      </c>
      <c r="C14" s="6"/>
      <c r="D14" s="6"/>
      <c r="E14" s="24" t="s">
        <v>353</v>
      </c>
      <c r="F14" s="24" t="s">
        <v>354</v>
      </c>
      <c r="G14" s="24" t="s">
        <v>355</v>
      </c>
      <c r="I14" s="2" t="s">
        <v>152</v>
      </c>
      <c r="J14" s="2" t="s">
        <v>58</v>
      </c>
      <c r="K14" s="2" t="s">
        <v>107</v>
      </c>
      <c r="M14" s="2" t="s">
        <v>22</v>
      </c>
      <c r="N14" s="2" t="s">
        <v>103</v>
      </c>
      <c r="O14" s="2" t="s">
        <v>28</v>
      </c>
      <c r="P14" s="7">
        <v>180</v>
      </c>
      <c r="Q14" s="7">
        <v>110</v>
      </c>
      <c r="R14" s="7">
        <v>80</v>
      </c>
      <c r="T14" s="15"/>
      <c r="V14" t="s">
        <v>43</v>
      </c>
      <c r="W14" s="5">
        <v>46258</v>
      </c>
    </row>
    <row r="15" spans="1:27" x14ac:dyDescent="0.3">
      <c r="B15" s="5">
        <v>45768</v>
      </c>
      <c r="E15" s="24" t="s">
        <v>358</v>
      </c>
      <c r="F15" s="24" t="s">
        <v>359</v>
      </c>
      <c r="G15" s="24" t="s">
        <v>360</v>
      </c>
      <c r="I15" s="32" t="s">
        <v>141</v>
      </c>
      <c r="J15" s="32" t="s">
        <v>142</v>
      </c>
      <c r="K15" s="2" t="s">
        <v>143</v>
      </c>
      <c r="M15" s="2" t="s">
        <v>29</v>
      </c>
      <c r="N15" s="2" t="s">
        <v>105</v>
      </c>
      <c r="O15" s="2" t="s">
        <v>111</v>
      </c>
      <c r="P15" s="7">
        <v>100</v>
      </c>
      <c r="Q15" s="7">
        <v>10</v>
      </c>
      <c r="R15" s="7">
        <v>100</v>
      </c>
      <c r="T15" s="11"/>
      <c r="V15" t="s">
        <v>44</v>
      </c>
      <c r="W15" s="5">
        <v>46279</v>
      </c>
    </row>
    <row r="16" spans="1:27" x14ac:dyDescent="0.3">
      <c r="B16" s="5">
        <v>45778</v>
      </c>
      <c r="E16" s="24" t="s">
        <v>363</v>
      </c>
      <c r="F16" s="24" t="s">
        <v>373</v>
      </c>
      <c r="G16" s="24" t="s">
        <v>364</v>
      </c>
      <c r="M16" s="2" t="s">
        <v>27</v>
      </c>
      <c r="N16" s="2" t="s">
        <v>108</v>
      </c>
      <c r="O16" s="2" t="s">
        <v>31</v>
      </c>
      <c r="P16" s="7">
        <v>25</v>
      </c>
      <c r="Q16" s="7">
        <v>225</v>
      </c>
      <c r="R16" s="7">
        <v>125</v>
      </c>
      <c r="T16" s="12"/>
      <c r="V16" t="s">
        <v>45</v>
      </c>
      <c r="W16" s="5">
        <v>46308</v>
      </c>
    </row>
    <row r="17" spans="2:23" x14ac:dyDescent="0.3">
      <c r="B17" s="5">
        <v>45785</v>
      </c>
      <c r="E17" s="24" t="s">
        <v>365</v>
      </c>
      <c r="F17" s="24" t="s">
        <v>366</v>
      </c>
      <c r="G17" s="24" t="s">
        <v>367</v>
      </c>
      <c r="M17" s="2" t="s">
        <v>109</v>
      </c>
      <c r="N17" s="2" t="s">
        <v>110</v>
      </c>
      <c r="O17" s="2" t="s">
        <v>223</v>
      </c>
      <c r="P17" s="7">
        <v>160</v>
      </c>
      <c r="Q17" s="7">
        <v>40</v>
      </c>
      <c r="R17" s="7">
        <v>40</v>
      </c>
      <c r="T17" s="17"/>
      <c r="V17" t="s">
        <v>46</v>
      </c>
      <c r="W17" s="5">
        <v>46314</v>
      </c>
    </row>
    <row r="18" spans="2:23" x14ac:dyDescent="0.3">
      <c r="B18" s="5">
        <v>45806</v>
      </c>
      <c r="E18" s="24" t="s">
        <v>368</v>
      </c>
      <c r="F18" s="24" t="s">
        <v>424</v>
      </c>
      <c r="G18" s="24" t="s">
        <v>369</v>
      </c>
      <c r="M18" s="2" t="s">
        <v>25</v>
      </c>
      <c r="N18" s="2" t="s">
        <v>112</v>
      </c>
      <c r="O18" s="2" t="s">
        <v>225</v>
      </c>
      <c r="P18" s="7">
        <v>250</v>
      </c>
      <c r="Q18" s="7">
        <v>60</v>
      </c>
      <c r="R18" s="7">
        <v>20</v>
      </c>
      <c r="T18" s="77"/>
      <c r="V18" t="s">
        <v>47</v>
      </c>
      <c r="W18" s="5">
        <v>45964</v>
      </c>
    </row>
    <row r="19" spans="2:23" x14ac:dyDescent="0.3">
      <c r="B19" s="5">
        <v>45817</v>
      </c>
      <c r="E19" s="24" t="s">
        <v>375</v>
      </c>
      <c r="F19" s="24" t="s">
        <v>376</v>
      </c>
      <c r="G19" s="24" t="s">
        <v>374</v>
      </c>
      <c r="V19" t="s">
        <v>48</v>
      </c>
      <c r="W19" s="5">
        <v>45985</v>
      </c>
    </row>
    <row r="20" spans="2:23" x14ac:dyDescent="0.3">
      <c r="B20" s="5">
        <v>45852</v>
      </c>
      <c r="E20" s="24" t="s">
        <v>379</v>
      </c>
      <c r="F20" s="24" t="s">
        <v>380</v>
      </c>
      <c r="G20" s="24" t="s">
        <v>381</v>
      </c>
      <c r="V20" t="s">
        <v>49</v>
      </c>
      <c r="W20" s="5"/>
    </row>
    <row r="21" spans="2:23" x14ac:dyDescent="0.3">
      <c r="B21" s="5">
        <v>45884</v>
      </c>
      <c r="E21" s="24" t="s">
        <v>383</v>
      </c>
      <c r="F21" s="24" t="s">
        <v>384</v>
      </c>
      <c r="G21" s="24" t="s">
        <v>385</v>
      </c>
    </row>
    <row r="22" spans="2:23" x14ac:dyDescent="0.3">
      <c r="B22" s="5">
        <v>45962</v>
      </c>
      <c r="E22" s="24" t="s">
        <v>386</v>
      </c>
      <c r="F22" s="24" t="s">
        <v>436</v>
      </c>
      <c r="G22" s="24" t="s">
        <v>387</v>
      </c>
    </row>
    <row r="23" spans="2:23" x14ac:dyDescent="0.3">
      <c r="B23" s="5">
        <v>45972</v>
      </c>
      <c r="E23" s="24" t="s">
        <v>391</v>
      </c>
      <c r="F23" s="24" t="s">
        <v>565</v>
      </c>
      <c r="G23" s="24" t="s">
        <v>392</v>
      </c>
    </row>
    <row r="24" spans="2:23" x14ac:dyDescent="0.3">
      <c r="B24" s="5">
        <v>46016</v>
      </c>
      <c r="E24" s="24" t="s">
        <v>399</v>
      </c>
      <c r="F24" s="24" t="s">
        <v>400</v>
      </c>
      <c r="G24" s="24" t="s">
        <v>398</v>
      </c>
    </row>
    <row r="25" spans="2:23" x14ac:dyDescent="0.3">
      <c r="B25" s="5">
        <v>46023</v>
      </c>
      <c r="E25" s="24" t="s">
        <v>415</v>
      </c>
      <c r="F25" s="24" t="s">
        <v>414</v>
      </c>
      <c r="G25" s="24" t="s">
        <v>416</v>
      </c>
    </row>
    <row r="26" spans="2:23" x14ac:dyDescent="0.3">
      <c r="B26" s="5">
        <v>46133</v>
      </c>
      <c r="E26" s="24" t="s">
        <v>418</v>
      </c>
      <c r="F26" s="24" t="s">
        <v>417</v>
      </c>
      <c r="G26" s="24" t="s">
        <v>419</v>
      </c>
    </row>
    <row r="27" spans="2:23" x14ac:dyDescent="0.3">
      <c r="B27" s="5">
        <v>46143</v>
      </c>
      <c r="E27" s="24" t="s">
        <v>422</v>
      </c>
      <c r="F27" s="24" t="s">
        <v>420</v>
      </c>
      <c r="G27" s="24" t="s">
        <v>421</v>
      </c>
      <c r="I27" s="199" t="s">
        <v>658</v>
      </c>
      <c r="J27" s="199"/>
      <c r="K27" s="199"/>
    </row>
    <row r="28" spans="2:23" x14ac:dyDescent="0.3">
      <c r="B28" s="5">
        <v>46150</v>
      </c>
      <c r="E28" s="24" t="s">
        <v>454</v>
      </c>
      <c r="F28" s="24" t="s">
        <v>453</v>
      </c>
      <c r="G28" s="24" t="s">
        <v>455</v>
      </c>
      <c r="I28" s="3" t="s">
        <v>685</v>
      </c>
      <c r="J28" s="177" t="s">
        <v>662</v>
      </c>
      <c r="K28" s="3" t="s">
        <v>659</v>
      </c>
    </row>
    <row r="29" spans="2:23" x14ac:dyDescent="0.3">
      <c r="B29" s="5">
        <v>46171</v>
      </c>
      <c r="E29" s="24" t="s">
        <v>460</v>
      </c>
      <c r="F29" s="24" t="s">
        <v>550</v>
      </c>
      <c r="G29" s="24" t="s">
        <v>461</v>
      </c>
      <c r="I29" s="2" t="s">
        <v>660</v>
      </c>
      <c r="J29" s="182">
        <v>46131</v>
      </c>
      <c r="K29" s="38" t="s">
        <v>467</v>
      </c>
    </row>
    <row r="30" spans="2:23" x14ac:dyDescent="0.3">
      <c r="B30" s="5">
        <v>46182</v>
      </c>
      <c r="E30" s="24" t="s">
        <v>462</v>
      </c>
      <c r="F30" s="24" t="s">
        <v>463</v>
      </c>
      <c r="G30" s="24" t="s">
        <v>464</v>
      </c>
      <c r="I30" s="2" t="s">
        <v>661</v>
      </c>
      <c r="J30" s="182">
        <v>46168</v>
      </c>
      <c r="K30" s="38" t="s">
        <v>686</v>
      </c>
    </row>
    <row r="31" spans="2:23" x14ac:dyDescent="0.3">
      <c r="B31" s="5">
        <v>46217</v>
      </c>
      <c r="E31" s="24" t="s">
        <v>475</v>
      </c>
      <c r="F31" s="24" t="s">
        <v>543</v>
      </c>
      <c r="G31" s="24" t="s">
        <v>474</v>
      </c>
      <c r="I31" s="2" t="s">
        <v>661</v>
      </c>
      <c r="J31" s="182">
        <v>46189</v>
      </c>
      <c r="K31" s="38" t="s">
        <v>687</v>
      </c>
    </row>
    <row r="32" spans="2:23" x14ac:dyDescent="0.3">
      <c r="B32" s="5">
        <v>46249</v>
      </c>
      <c r="E32" s="24" t="s">
        <v>477</v>
      </c>
      <c r="F32" s="24" t="s">
        <v>544</v>
      </c>
      <c r="G32" s="24" t="s">
        <v>476</v>
      </c>
      <c r="I32" s="2" t="s">
        <v>661</v>
      </c>
      <c r="J32" s="182">
        <v>46210</v>
      </c>
      <c r="K32" s="38" t="s">
        <v>688</v>
      </c>
    </row>
    <row r="33" spans="2:13" x14ac:dyDescent="0.3">
      <c r="B33" s="5">
        <v>46327</v>
      </c>
      <c r="E33" s="24" t="s">
        <v>484</v>
      </c>
      <c r="F33" s="24" t="s">
        <v>485</v>
      </c>
      <c r="G33" s="24" t="s">
        <v>483</v>
      </c>
      <c r="I33" s="2" t="s">
        <v>660</v>
      </c>
      <c r="J33" s="182">
        <v>46313</v>
      </c>
      <c r="K33" s="38" t="s">
        <v>684</v>
      </c>
      <c r="M33" s="181"/>
    </row>
    <row r="34" spans="2:13" x14ac:dyDescent="0.3">
      <c r="B34" s="5">
        <v>46337</v>
      </c>
      <c r="E34" s="24" t="s">
        <v>524</v>
      </c>
      <c r="F34" s="24" t="s">
        <v>525</v>
      </c>
      <c r="G34" s="24" t="s">
        <v>523</v>
      </c>
      <c r="I34" s="2" t="s">
        <v>661</v>
      </c>
      <c r="J34" s="182">
        <v>46350</v>
      </c>
      <c r="K34" s="38" t="s">
        <v>689</v>
      </c>
    </row>
    <row r="35" spans="2:13" x14ac:dyDescent="0.3">
      <c r="B35" s="5">
        <v>46381</v>
      </c>
      <c r="E35" s="24" t="s">
        <v>533</v>
      </c>
      <c r="F35" s="24" t="s">
        <v>535</v>
      </c>
      <c r="G35" s="24" t="s">
        <v>534</v>
      </c>
      <c r="I35" s="2" t="s">
        <v>661</v>
      </c>
      <c r="J35" s="182">
        <v>46371</v>
      </c>
      <c r="K35" s="38" t="s">
        <v>690</v>
      </c>
    </row>
    <row r="36" spans="2:13" x14ac:dyDescent="0.3">
      <c r="B36" s="5">
        <v>46382</v>
      </c>
      <c r="E36" s="32" t="s">
        <v>537</v>
      </c>
      <c r="F36" s="32" t="s">
        <v>538</v>
      </c>
      <c r="G36" s="2" t="s">
        <v>539</v>
      </c>
      <c r="I36" s="2" t="s">
        <v>661</v>
      </c>
      <c r="J36" s="183">
        <v>46406</v>
      </c>
      <c r="K36" s="38" t="s">
        <v>691</v>
      </c>
    </row>
    <row r="37" spans="2:13" x14ac:dyDescent="0.3">
      <c r="E37" s="24" t="s">
        <v>560</v>
      </c>
      <c r="F37" s="24" t="s">
        <v>558</v>
      </c>
      <c r="G37" s="24" t="s">
        <v>559</v>
      </c>
    </row>
    <row r="38" spans="2:13" x14ac:dyDescent="0.3">
      <c r="E38" s="24" t="s">
        <v>563</v>
      </c>
      <c r="F38" s="24" t="s">
        <v>545</v>
      </c>
      <c r="G38" s="24" t="s">
        <v>564</v>
      </c>
    </row>
    <row r="39" spans="2:13" x14ac:dyDescent="0.3">
      <c r="E39" s="24" t="s">
        <v>570</v>
      </c>
      <c r="F39" s="24" t="s">
        <v>571</v>
      </c>
      <c r="G39" s="24" t="s">
        <v>572</v>
      </c>
    </row>
    <row r="40" spans="2:13" x14ac:dyDescent="0.3">
      <c r="E40" s="24" t="s">
        <v>574</v>
      </c>
      <c r="F40" s="24" t="s">
        <v>575</v>
      </c>
      <c r="G40" s="24" t="s">
        <v>576</v>
      </c>
    </row>
    <row r="41" spans="2:13" x14ac:dyDescent="0.3">
      <c r="E41" s="24" t="s">
        <v>579</v>
      </c>
      <c r="F41" s="24" t="s">
        <v>578</v>
      </c>
      <c r="G41" s="24" t="s">
        <v>580</v>
      </c>
    </row>
    <row r="42" spans="2:13" x14ac:dyDescent="0.3">
      <c r="E42" s="24" t="s">
        <v>602</v>
      </c>
      <c r="F42" s="24" t="s">
        <v>602</v>
      </c>
      <c r="G42" s="24" t="s">
        <v>581</v>
      </c>
    </row>
    <row r="43" spans="2:13" x14ac:dyDescent="0.3">
      <c r="E43" s="24" t="s">
        <v>584</v>
      </c>
      <c r="F43" s="24" t="s">
        <v>584</v>
      </c>
      <c r="G43" s="24" t="s">
        <v>585</v>
      </c>
    </row>
    <row r="44" spans="2:13" x14ac:dyDescent="0.3">
      <c r="E44" s="24" t="s">
        <v>588</v>
      </c>
      <c r="F44" s="24" t="s">
        <v>589</v>
      </c>
      <c r="G44" s="24" t="s">
        <v>590</v>
      </c>
    </row>
    <row r="45" spans="2:13" x14ac:dyDescent="0.3">
      <c r="E45" s="24" t="s">
        <v>593</v>
      </c>
      <c r="F45" s="24" t="s">
        <v>594</v>
      </c>
      <c r="G45" s="24" t="s">
        <v>592</v>
      </c>
    </row>
    <row r="46" spans="2:13" x14ac:dyDescent="0.3">
      <c r="E46" s="24" t="s">
        <v>596</v>
      </c>
      <c r="F46" s="24" t="s">
        <v>597</v>
      </c>
      <c r="G46" s="24" t="s">
        <v>595</v>
      </c>
    </row>
    <row r="47" spans="2:13" x14ac:dyDescent="0.3">
      <c r="E47" s="45" t="s">
        <v>604</v>
      </c>
      <c r="F47" s="145" t="s">
        <v>605</v>
      </c>
      <c r="G47" s="45" t="s">
        <v>606</v>
      </c>
    </row>
    <row r="48" spans="2:13" x14ac:dyDescent="0.3">
      <c r="E48" s="24" t="s">
        <v>610</v>
      </c>
      <c r="F48" s="24" t="s">
        <v>609</v>
      </c>
      <c r="G48" s="24" t="s">
        <v>607</v>
      </c>
    </row>
    <row r="49" spans="5:7" x14ac:dyDescent="0.3">
      <c r="E49" s="24" t="s">
        <v>612</v>
      </c>
      <c r="F49" s="24" t="s">
        <v>611</v>
      </c>
      <c r="G49" s="24" t="s">
        <v>608</v>
      </c>
    </row>
    <row r="50" spans="5:7" x14ac:dyDescent="0.3">
      <c r="E50" s="24" t="s">
        <v>625</v>
      </c>
      <c r="F50" s="24" t="s">
        <v>624</v>
      </c>
      <c r="G50" s="24" t="s">
        <v>626</v>
      </c>
    </row>
    <row r="51" spans="5:7" x14ac:dyDescent="0.3">
      <c r="E51" s="24" t="s">
        <v>628</v>
      </c>
      <c r="F51" s="24" t="s">
        <v>627</v>
      </c>
      <c r="G51" s="24" t="s">
        <v>629</v>
      </c>
    </row>
    <row r="52" spans="5:7" x14ac:dyDescent="0.3">
      <c r="E52" s="32" t="s">
        <v>646</v>
      </c>
      <c r="F52" s="32" t="s">
        <v>645</v>
      </c>
      <c r="G52" s="2" t="s">
        <v>644</v>
      </c>
    </row>
    <row r="53" spans="5:7" x14ac:dyDescent="0.3">
      <c r="E53" s="160" t="s">
        <v>650</v>
      </c>
      <c r="F53" s="2" t="s">
        <v>650</v>
      </c>
      <c r="G53" s="2" t="s">
        <v>651</v>
      </c>
    </row>
    <row r="54" spans="5:7" x14ac:dyDescent="0.3">
      <c r="E54" s="160" t="s">
        <v>663</v>
      </c>
      <c r="F54" s="2" t="s">
        <v>664</v>
      </c>
      <c r="G54" s="2" t="s">
        <v>665</v>
      </c>
    </row>
    <row r="55" spans="5:7" x14ac:dyDescent="0.3">
      <c r="E55" s="160" t="s">
        <v>679</v>
      </c>
      <c r="F55" s="2" t="s">
        <v>675</v>
      </c>
      <c r="G55" s="2" t="s">
        <v>670</v>
      </c>
    </row>
    <row r="56" spans="5:7" x14ac:dyDescent="0.3">
      <c r="E56" s="160" t="s">
        <v>680</v>
      </c>
      <c r="F56" s="2" t="s">
        <v>680</v>
      </c>
      <c r="G56" s="2" t="s">
        <v>671</v>
      </c>
    </row>
    <row r="57" spans="5:7" x14ac:dyDescent="0.3">
      <c r="E57" s="160" t="s">
        <v>681</v>
      </c>
      <c r="F57" s="2" t="s">
        <v>676</v>
      </c>
      <c r="G57" s="2" t="s">
        <v>672</v>
      </c>
    </row>
    <row r="58" spans="5:7" x14ac:dyDescent="0.3">
      <c r="E58" s="160" t="s">
        <v>682</v>
      </c>
      <c r="F58" s="2" t="s">
        <v>677</v>
      </c>
      <c r="G58" s="2" t="s">
        <v>673</v>
      </c>
    </row>
    <row r="59" spans="5:7" x14ac:dyDescent="0.3">
      <c r="E59" s="160" t="s">
        <v>683</v>
      </c>
      <c r="F59" s="2" t="s">
        <v>678</v>
      </c>
      <c r="G59" s="2" t="s">
        <v>674</v>
      </c>
    </row>
  </sheetData>
  <mergeCells count="5">
    <mergeCell ref="P2:R2"/>
    <mergeCell ref="M1:R1"/>
    <mergeCell ref="E1:G1"/>
    <mergeCell ref="I1:K1"/>
    <mergeCell ref="I27:K27"/>
  </mergeCells>
  <phoneticPr fontId="18"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5255-1A19-4587-BA20-A30BF8DFC6CE}">
  <sheetPr codeName="Feuil7">
    <tabColor theme="4"/>
  </sheetPr>
  <dimension ref="A1:P425"/>
  <sheetViews>
    <sheetView showGridLines="0" topLeftCell="B1" zoomScaleNormal="100" workbookViewId="0">
      <pane ySplit="1" topLeftCell="A20" activePane="bottomLeft" state="frozen"/>
      <selection pane="bottomLeft" activeCell="P1" sqref="P1"/>
    </sheetView>
  </sheetViews>
  <sheetFormatPr baseColWidth="10" defaultColWidth="11.44140625" defaultRowHeight="14.4" x14ac:dyDescent="0.3"/>
  <cols>
    <col min="1" max="1" width="18.77734375" bestFit="1" customWidth="1"/>
    <col min="2" max="2" width="14.44140625" bestFit="1" customWidth="1"/>
    <col min="3" max="3" width="20.5546875" bestFit="1" customWidth="1"/>
    <col min="4" max="4" width="19.5546875" style="6" bestFit="1" customWidth="1"/>
    <col min="5" max="5" width="16.44140625" style="6" bestFit="1" customWidth="1"/>
    <col min="6" max="6" width="6.44140625" style="1" hidden="1" customWidth="1"/>
    <col min="7" max="7" width="63.77734375" style="27" bestFit="1" customWidth="1"/>
    <col min="8" max="8" width="4.5546875" customWidth="1"/>
    <col min="9" max="9" width="27.5546875" bestFit="1" customWidth="1"/>
    <col min="10" max="10" width="16.44140625" bestFit="1" customWidth="1"/>
    <col min="11" max="11" width="15" style="6" bestFit="1" customWidth="1"/>
    <col min="12" max="12" width="11.5546875" style="6" bestFit="1" customWidth="1"/>
    <col min="13" max="13" width="8.5546875" style="1" customWidth="1"/>
  </cols>
  <sheetData>
    <row r="1" spans="1:16" s="34" customFormat="1" ht="32.1" customHeight="1" x14ac:dyDescent="0.3">
      <c r="A1" s="40" t="s">
        <v>0</v>
      </c>
      <c r="B1" s="40" t="s">
        <v>1</v>
      </c>
      <c r="C1" s="40" t="s">
        <v>2</v>
      </c>
      <c r="D1" s="41" t="s">
        <v>3</v>
      </c>
      <c r="E1" s="41" t="s">
        <v>4</v>
      </c>
      <c r="F1" s="40" t="s">
        <v>5</v>
      </c>
      <c r="G1" s="42" t="s">
        <v>158</v>
      </c>
      <c r="I1" s="55" t="s">
        <v>237</v>
      </c>
      <c r="J1" s="43" t="s">
        <v>2</v>
      </c>
      <c r="K1" s="44" t="s">
        <v>3</v>
      </c>
      <c r="L1" s="44" t="s">
        <v>4</v>
      </c>
      <c r="M1" s="54" t="s">
        <v>236</v>
      </c>
      <c r="P1" s="34" t="s">
        <v>618</v>
      </c>
    </row>
    <row r="2" spans="1:16" x14ac:dyDescent="0.3">
      <c r="A2" s="24" t="s">
        <v>181</v>
      </c>
      <c r="B2" s="24" t="s">
        <v>6</v>
      </c>
      <c r="C2" s="24" t="s">
        <v>7</v>
      </c>
      <c r="D2" s="25">
        <v>45446</v>
      </c>
      <c r="E2" s="25">
        <v>45653</v>
      </c>
      <c r="F2" s="48" t="s">
        <v>8</v>
      </c>
      <c r="G2" s="49"/>
      <c r="I2" s="24" t="s">
        <v>9</v>
      </c>
      <c r="J2" s="24" t="s">
        <v>10</v>
      </c>
      <c r="K2" s="25">
        <v>45554</v>
      </c>
      <c r="L2" s="25">
        <v>45583</v>
      </c>
      <c r="M2" s="52"/>
    </row>
    <row r="3" spans="1:16" x14ac:dyDescent="0.3">
      <c r="A3" s="24" t="s">
        <v>181</v>
      </c>
      <c r="B3" s="24" t="s">
        <v>11</v>
      </c>
      <c r="C3" s="24" t="s">
        <v>14</v>
      </c>
      <c r="D3" s="25">
        <v>45579</v>
      </c>
      <c r="E3" s="25">
        <v>45653</v>
      </c>
      <c r="F3" s="48" t="s">
        <v>75</v>
      </c>
      <c r="G3" s="49"/>
      <c r="I3" s="24" t="s">
        <v>9</v>
      </c>
      <c r="J3" s="24" t="s">
        <v>14</v>
      </c>
      <c r="K3" s="25">
        <v>45565</v>
      </c>
      <c r="L3" s="25">
        <v>45576</v>
      </c>
      <c r="M3" s="52"/>
    </row>
    <row r="4" spans="1:16" x14ac:dyDescent="0.3">
      <c r="A4" s="24" t="s">
        <v>181</v>
      </c>
      <c r="B4" s="24" t="s">
        <v>11</v>
      </c>
      <c r="C4" s="24" t="s">
        <v>78</v>
      </c>
      <c r="D4" s="25">
        <v>45453</v>
      </c>
      <c r="E4" s="25">
        <v>45625</v>
      </c>
      <c r="F4" s="48" t="s">
        <v>13</v>
      </c>
      <c r="G4" s="49"/>
      <c r="I4" s="24" t="s">
        <v>151</v>
      </c>
      <c r="J4" s="24" t="s">
        <v>18</v>
      </c>
      <c r="K4" s="25">
        <v>45579</v>
      </c>
      <c r="L4" s="25">
        <v>45657</v>
      </c>
      <c r="M4" s="52"/>
    </row>
    <row r="5" spans="1:16" x14ac:dyDescent="0.3">
      <c r="A5" s="24" t="s">
        <v>181</v>
      </c>
      <c r="B5" s="24" t="s">
        <v>15</v>
      </c>
      <c r="C5" s="24" t="s">
        <v>16</v>
      </c>
      <c r="D5" s="25">
        <v>45460</v>
      </c>
      <c r="E5" s="25">
        <v>45639</v>
      </c>
      <c r="F5" s="48" t="s">
        <v>17</v>
      </c>
      <c r="G5" s="49"/>
      <c r="I5" s="24" t="s">
        <v>24</v>
      </c>
      <c r="J5" s="24" t="s">
        <v>25</v>
      </c>
      <c r="K5" s="25">
        <v>45576</v>
      </c>
      <c r="L5" s="25">
        <v>45586</v>
      </c>
      <c r="M5" s="52"/>
    </row>
    <row r="6" spans="1:16" x14ac:dyDescent="0.3">
      <c r="A6" s="24" t="s">
        <v>181</v>
      </c>
      <c r="B6" s="24" t="s">
        <v>19</v>
      </c>
      <c r="C6" s="24" t="s">
        <v>18</v>
      </c>
      <c r="D6" s="25">
        <v>45488</v>
      </c>
      <c r="E6" s="25">
        <v>45569</v>
      </c>
      <c r="F6" s="48" t="s">
        <v>98</v>
      </c>
      <c r="G6" s="49"/>
      <c r="I6" s="24" t="s">
        <v>9</v>
      </c>
      <c r="J6" s="24" t="s">
        <v>29</v>
      </c>
      <c r="K6" s="25">
        <v>45552</v>
      </c>
      <c r="L6" s="25">
        <v>45562</v>
      </c>
      <c r="M6" s="52"/>
    </row>
    <row r="7" spans="1:16" x14ac:dyDescent="0.3">
      <c r="A7" s="24" t="s">
        <v>181</v>
      </c>
      <c r="B7" s="24" t="s">
        <v>80</v>
      </c>
      <c r="C7" s="24" t="s">
        <v>10</v>
      </c>
      <c r="D7" s="25">
        <v>45586</v>
      </c>
      <c r="E7" s="25">
        <v>45674</v>
      </c>
      <c r="F7" s="48" t="s">
        <v>101</v>
      </c>
      <c r="G7" s="49"/>
      <c r="I7" s="24" t="s">
        <v>9</v>
      </c>
      <c r="J7" s="24" t="s">
        <v>32</v>
      </c>
      <c r="K7" s="25">
        <v>45560</v>
      </c>
      <c r="L7" s="25">
        <v>45572</v>
      </c>
      <c r="M7" s="52"/>
    </row>
    <row r="8" spans="1:16" x14ac:dyDescent="0.3">
      <c r="A8" s="24" t="s">
        <v>181</v>
      </c>
      <c r="B8" s="24" t="s">
        <v>21</v>
      </c>
      <c r="C8" s="24" t="s">
        <v>22</v>
      </c>
      <c r="D8" s="25">
        <v>45586</v>
      </c>
      <c r="E8" s="25">
        <v>45674</v>
      </c>
      <c r="F8" s="48" t="s">
        <v>28</v>
      </c>
      <c r="G8" s="49"/>
      <c r="I8" s="24" t="s">
        <v>148</v>
      </c>
      <c r="J8" s="24" t="s">
        <v>22</v>
      </c>
      <c r="K8" s="25">
        <v>45677</v>
      </c>
      <c r="L8" s="25">
        <v>45681</v>
      </c>
      <c r="M8" s="52"/>
    </row>
    <row r="9" spans="1:16" x14ac:dyDescent="0.3">
      <c r="A9" s="24" t="s">
        <v>181</v>
      </c>
      <c r="B9" s="24" t="s">
        <v>21</v>
      </c>
      <c r="C9" s="24" t="s">
        <v>29</v>
      </c>
      <c r="D9" s="25">
        <v>45674</v>
      </c>
      <c r="E9" s="25">
        <v>45679</v>
      </c>
      <c r="F9" s="71" t="s">
        <v>111</v>
      </c>
      <c r="G9" s="49" t="s">
        <v>179</v>
      </c>
      <c r="I9" s="24" t="s">
        <v>149</v>
      </c>
      <c r="J9" s="24" t="s">
        <v>22</v>
      </c>
      <c r="K9" s="25">
        <v>45684</v>
      </c>
      <c r="L9" s="25">
        <v>45695</v>
      </c>
      <c r="M9" s="52"/>
    </row>
    <row r="10" spans="1:16" x14ac:dyDescent="0.3">
      <c r="A10" s="24" t="s">
        <v>181</v>
      </c>
      <c r="B10" s="24" t="s">
        <v>26</v>
      </c>
      <c r="C10" s="24" t="s">
        <v>27</v>
      </c>
      <c r="D10" s="25">
        <v>45565</v>
      </c>
      <c r="E10" s="25">
        <v>45702</v>
      </c>
      <c r="F10" s="48" t="s">
        <v>31</v>
      </c>
      <c r="G10" s="49"/>
      <c r="I10" s="24" t="s">
        <v>218</v>
      </c>
      <c r="J10" s="24" t="s">
        <v>10</v>
      </c>
      <c r="K10" s="25">
        <v>45637</v>
      </c>
      <c r="L10" s="25">
        <v>45643</v>
      </c>
      <c r="M10" s="52"/>
    </row>
    <row r="11" spans="1:16" x14ac:dyDescent="0.3">
      <c r="A11" s="24" t="s">
        <v>181</v>
      </c>
      <c r="B11" s="24" t="s">
        <v>30</v>
      </c>
      <c r="C11" s="24" t="s">
        <v>25</v>
      </c>
      <c r="D11" s="25">
        <v>45574</v>
      </c>
      <c r="E11" s="25">
        <v>45574</v>
      </c>
      <c r="F11" s="48" t="s">
        <v>225</v>
      </c>
      <c r="G11" s="49" t="s">
        <v>164</v>
      </c>
      <c r="I11" s="24" t="s">
        <v>148</v>
      </c>
      <c r="J11" s="24" t="s">
        <v>16</v>
      </c>
      <c r="K11" s="25">
        <v>45691</v>
      </c>
      <c r="L11" s="25">
        <v>45702</v>
      </c>
      <c r="M11" s="52"/>
    </row>
    <row r="12" spans="1:16" x14ac:dyDescent="0.3">
      <c r="A12" s="24" t="s">
        <v>181</v>
      </c>
      <c r="B12" s="24" t="s">
        <v>144</v>
      </c>
      <c r="C12" s="24" t="s">
        <v>25</v>
      </c>
      <c r="D12" s="25">
        <v>45679</v>
      </c>
      <c r="E12" s="25">
        <v>45679</v>
      </c>
      <c r="F12" s="71" t="s">
        <v>225</v>
      </c>
      <c r="G12" s="49" t="s">
        <v>217</v>
      </c>
      <c r="I12" s="24" t="s">
        <v>229</v>
      </c>
      <c r="J12" s="24" t="s">
        <v>27</v>
      </c>
      <c r="K12" s="25">
        <v>45666</v>
      </c>
      <c r="L12" s="25">
        <v>45667</v>
      </c>
      <c r="M12" s="52"/>
    </row>
    <row r="13" spans="1:16" x14ac:dyDescent="0.3">
      <c r="A13" s="24" t="s">
        <v>181</v>
      </c>
      <c r="B13" s="24" t="s">
        <v>152</v>
      </c>
      <c r="C13" s="24" t="s">
        <v>25</v>
      </c>
      <c r="D13" s="25">
        <v>45692</v>
      </c>
      <c r="E13" s="25">
        <v>45692</v>
      </c>
      <c r="F13" s="71" t="s">
        <v>225</v>
      </c>
      <c r="G13" s="73" t="s">
        <v>295</v>
      </c>
      <c r="I13" s="24" t="s">
        <v>267</v>
      </c>
      <c r="J13" s="24" t="s">
        <v>27</v>
      </c>
      <c r="K13" s="25">
        <v>45670</v>
      </c>
      <c r="L13" s="25">
        <v>45681</v>
      </c>
      <c r="M13" s="52"/>
    </row>
    <row r="14" spans="1:16" x14ac:dyDescent="0.3">
      <c r="A14" s="24" t="s">
        <v>181</v>
      </c>
      <c r="B14" s="24" t="s">
        <v>144</v>
      </c>
      <c r="C14" s="24" t="s">
        <v>25</v>
      </c>
      <c r="D14" s="25">
        <v>45693</v>
      </c>
      <c r="E14" s="25">
        <v>45693</v>
      </c>
      <c r="F14" s="71" t="s">
        <v>225</v>
      </c>
      <c r="G14" s="49" t="s">
        <v>293</v>
      </c>
      <c r="I14" s="24" t="s">
        <v>149</v>
      </c>
      <c r="J14" s="24" t="s">
        <v>10</v>
      </c>
      <c r="K14" s="25">
        <v>45743</v>
      </c>
      <c r="L14" s="25">
        <v>45750</v>
      </c>
      <c r="M14" s="52"/>
    </row>
    <row r="15" spans="1:16" x14ac:dyDescent="0.3">
      <c r="A15" s="24" t="s">
        <v>181</v>
      </c>
      <c r="B15" s="24" t="s">
        <v>152</v>
      </c>
      <c r="C15" s="24" t="s">
        <v>25</v>
      </c>
      <c r="D15" s="25">
        <v>45701</v>
      </c>
      <c r="E15" s="25">
        <v>45701</v>
      </c>
      <c r="F15" s="71" t="s">
        <v>225</v>
      </c>
      <c r="G15" s="73" t="s">
        <v>296</v>
      </c>
      <c r="I15" s="24" t="s">
        <v>157</v>
      </c>
      <c r="J15" s="24" t="s">
        <v>222</v>
      </c>
      <c r="K15" s="25">
        <v>45672</v>
      </c>
      <c r="L15" s="25">
        <v>45779</v>
      </c>
      <c r="M15" s="52" t="s">
        <v>263</v>
      </c>
    </row>
    <row r="16" spans="1:16" x14ac:dyDescent="0.3">
      <c r="A16" s="24" t="s">
        <v>181</v>
      </c>
      <c r="B16" s="24" t="s">
        <v>145</v>
      </c>
      <c r="C16" s="24" t="s">
        <v>25</v>
      </c>
      <c r="D16" s="25">
        <v>45742</v>
      </c>
      <c r="E16" s="25">
        <v>45742</v>
      </c>
      <c r="F16" s="48" t="s">
        <v>225</v>
      </c>
      <c r="G16" s="49" t="s">
        <v>317</v>
      </c>
      <c r="I16" s="24" t="s">
        <v>157</v>
      </c>
      <c r="J16" s="24" t="s">
        <v>78</v>
      </c>
      <c r="K16" s="25">
        <v>45649</v>
      </c>
      <c r="L16" s="25">
        <v>45758</v>
      </c>
      <c r="M16" s="52" t="s">
        <v>263</v>
      </c>
    </row>
    <row r="17" spans="1:13" x14ac:dyDescent="0.3">
      <c r="A17" s="24" t="s">
        <v>181</v>
      </c>
      <c r="B17" s="24" t="s">
        <v>152</v>
      </c>
      <c r="C17" s="24" t="s">
        <v>25</v>
      </c>
      <c r="D17" s="25">
        <v>45743</v>
      </c>
      <c r="E17" s="25">
        <v>45743</v>
      </c>
      <c r="F17" s="71" t="s">
        <v>225</v>
      </c>
      <c r="G17" s="73" t="s">
        <v>302</v>
      </c>
      <c r="I17" s="24" t="s">
        <v>157</v>
      </c>
      <c r="J17" s="24" t="s">
        <v>22</v>
      </c>
      <c r="K17" s="25">
        <v>45698</v>
      </c>
      <c r="L17" s="25">
        <v>45772</v>
      </c>
      <c r="M17" s="52" t="s">
        <v>263</v>
      </c>
    </row>
    <row r="18" spans="1:13" x14ac:dyDescent="0.3">
      <c r="A18" s="24" t="s">
        <v>181</v>
      </c>
      <c r="B18" s="24" t="s">
        <v>145</v>
      </c>
      <c r="C18" s="24" t="s">
        <v>25</v>
      </c>
      <c r="D18" s="25">
        <v>45748</v>
      </c>
      <c r="E18" s="25">
        <v>45748</v>
      </c>
      <c r="F18" s="71" t="s">
        <v>225</v>
      </c>
      <c r="G18" s="73" t="s">
        <v>321</v>
      </c>
      <c r="I18" s="24" t="s">
        <v>157</v>
      </c>
      <c r="J18" s="24" t="s">
        <v>18</v>
      </c>
      <c r="K18" s="25">
        <v>45698</v>
      </c>
      <c r="L18" s="25">
        <v>45758</v>
      </c>
      <c r="M18" s="52" t="s">
        <v>263</v>
      </c>
    </row>
    <row r="19" spans="1:13" x14ac:dyDescent="0.3">
      <c r="A19" s="24" t="s">
        <v>182</v>
      </c>
      <c r="B19" s="24" t="s">
        <v>6</v>
      </c>
      <c r="C19" s="24" t="s">
        <v>7</v>
      </c>
      <c r="D19" s="25">
        <v>45628</v>
      </c>
      <c r="E19" s="25">
        <v>45663</v>
      </c>
      <c r="F19" s="48" t="s">
        <v>8</v>
      </c>
      <c r="G19" s="49" t="s">
        <v>203</v>
      </c>
      <c r="I19" s="24" t="s">
        <v>157</v>
      </c>
      <c r="J19" s="24" t="s">
        <v>27</v>
      </c>
      <c r="K19" s="25">
        <v>45719</v>
      </c>
      <c r="L19" s="25">
        <v>45751</v>
      </c>
      <c r="M19" s="52" t="s">
        <v>263</v>
      </c>
    </row>
    <row r="20" spans="1:13" x14ac:dyDescent="0.3">
      <c r="A20" s="24" t="s">
        <v>182</v>
      </c>
      <c r="B20" s="24" t="s">
        <v>6</v>
      </c>
      <c r="C20" s="24" t="s">
        <v>7</v>
      </c>
      <c r="D20" s="25">
        <v>45631</v>
      </c>
      <c r="E20" s="25">
        <v>45747</v>
      </c>
      <c r="F20" s="48" t="s">
        <v>8</v>
      </c>
      <c r="G20" s="49"/>
      <c r="I20" s="24" t="s">
        <v>149</v>
      </c>
      <c r="J20" s="24" t="s">
        <v>27</v>
      </c>
      <c r="K20" s="25">
        <v>45705</v>
      </c>
      <c r="L20" s="25">
        <v>45716</v>
      </c>
      <c r="M20" s="52"/>
    </row>
    <row r="21" spans="1:13" x14ac:dyDescent="0.3">
      <c r="A21" s="24" t="s">
        <v>182</v>
      </c>
      <c r="B21" s="24" t="s">
        <v>11</v>
      </c>
      <c r="C21" s="24" t="s">
        <v>14</v>
      </c>
      <c r="D21" s="25">
        <v>45631</v>
      </c>
      <c r="E21" s="25">
        <v>45653</v>
      </c>
      <c r="F21" s="48" t="s">
        <v>75</v>
      </c>
      <c r="G21" s="49" t="s">
        <v>228</v>
      </c>
      <c r="I21" s="24" t="s">
        <v>268</v>
      </c>
      <c r="J21" s="24" t="s">
        <v>38</v>
      </c>
      <c r="K21" s="25">
        <v>45670</v>
      </c>
      <c r="L21" s="25">
        <v>45674</v>
      </c>
      <c r="M21" s="52"/>
    </row>
    <row r="22" spans="1:13" x14ac:dyDescent="0.3">
      <c r="A22" s="24" t="s">
        <v>182</v>
      </c>
      <c r="B22" s="24" t="s">
        <v>11</v>
      </c>
      <c r="C22" s="24" t="s">
        <v>78</v>
      </c>
      <c r="D22" s="25">
        <v>45656</v>
      </c>
      <c r="E22" s="25">
        <v>45758</v>
      </c>
      <c r="F22" s="48" t="s">
        <v>13</v>
      </c>
      <c r="G22" s="49" t="s">
        <v>227</v>
      </c>
      <c r="I22" s="24" t="s">
        <v>149</v>
      </c>
      <c r="J22" s="24" t="s">
        <v>29</v>
      </c>
      <c r="K22" s="25">
        <v>45761</v>
      </c>
      <c r="L22" s="25">
        <v>45765</v>
      </c>
      <c r="M22" s="52"/>
    </row>
    <row r="23" spans="1:13" x14ac:dyDescent="0.3">
      <c r="A23" s="24" t="s">
        <v>182</v>
      </c>
      <c r="B23" s="24" t="s">
        <v>15</v>
      </c>
      <c r="C23" s="24" t="s">
        <v>222</v>
      </c>
      <c r="D23" s="25">
        <v>45672</v>
      </c>
      <c r="E23" s="25">
        <v>45758</v>
      </c>
      <c r="F23" s="48" t="s">
        <v>20</v>
      </c>
      <c r="G23" s="49"/>
      <c r="I23" s="24" t="s">
        <v>218</v>
      </c>
      <c r="J23" s="24" t="s">
        <v>29</v>
      </c>
      <c r="K23" s="25">
        <v>45649</v>
      </c>
      <c r="L23" s="25">
        <v>45653</v>
      </c>
      <c r="M23" s="52"/>
    </row>
    <row r="24" spans="1:13" x14ac:dyDescent="0.3">
      <c r="A24" s="24" t="s">
        <v>182</v>
      </c>
      <c r="B24" s="24" t="s">
        <v>21</v>
      </c>
      <c r="C24" s="24" t="s">
        <v>22</v>
      </c>
      <c r="D24" s="25">
        <v>45698</v>
      </c>
      <c r="E24" s="25">
        <v>45758</v>
      </c>
      <c r="F24" s="48" t="s">
        <v>28</v>
      </c>
      <c r="G24" s="49"/>
      <c r="I24" s="24" t="s">
        <v>24</v>
      </c>
      <c r="J24" s="24" t="s">
        <v>25</v>
      </c>
      <c r="K24" s="25">
        <v>45730</v>
      </c>
      <c r="L24" s="25">
        <v>45740</v>
      </c>
      <c r="M24" s="52"/>
    </row>
    <row r="25" spans="1:13" x14ac:dyDescent="0.3">
      <c r="A25" s="24" t="s">
        <v>182</v>
      </c>
      <c r="B25" s="24" t="s">
        <v>145</v>
      </c>
      <c r="C25" s="24" t="s">
        <v>25</v>
      </c>
      <c r="D25" s="25">
        <v>45761</v>
      </c>
      <c r="E25" s="25">
        <v>45761</v>
      </c>
      <c r="F25" s="48" t="s">
        <v>225</v>
      </c>
      <c r="G25" s="49" t="s">
        <v>226</v>
      </c>
      <c r="I25" s="24" t="s">
        <v>149</v>
      </c>
      <c r="J25" s="24" t="s">
        <v>14</v>
      </c>
      <c r="K25" s="25">
        <v>45743</v>
      </c>
      <c r="L25" s="25">
        <v>45750</v>
      </c>
      <c r="M25" s="52"/>
    </row>
    <row r="26" spans="1:13" x14ac:dyDescent="0.3">
      <c r="A26" s="24" t="s">
        <v>182</v>
      </c>
      <c r="B26" s="24" t="s">
        <v>152</v>
      </c>
      <c r="C26" s="24" t="s">
        <v>25</v>
      </c>
      <c r="D26" s="25">
        <v>45789</v>
      </c>
      <c r="E26" s="25">
        <v>45789</v>
      </c>
      <c r="F26" s="71" t="s">
        <v>225</v>
      </c>
      <c r="G26" s="73" t="s">
        <v>345</v>
      </c>
      <c r="I26" s="24" t="s">
        <v>312</v>
      </c>
      <c r="J26" s="24" t="s">
        <v>78</v>
      </c>
      <c r="K26" s="25">
        <v>45779</v>
      </c>
      <c r="L26" s="25">
        <v>45800</v>
      </c>
      <c r="M26" s="52"/>
    </row>
    <row r="27" spans="1:13" x14ac:dyDescent="0.3">
      <c r="A27" s="24" t="s">
        <v>323</v>
      </c>
      <c r="B27" s="24" t="s">
        <v>6</v>
      </c>
      <c r="C27" s="24" t="s">
        <v>7</v>
      </c>
      <c r="D27" s="25">
        <v>45747</v>
      </c>
      <c r="E27" s="25">
        <v>45786</v>
      </c>
      <c r="F27" s="48" t="s">
        <v>8</v>
      </c>
      <c r="G27" s="49"/>
      <c r="I27" s="24" t="s">
        <v>311</v>
      </c>
      <c r="J27" s="24" t="s">
        <v>16</v>
      </c>
      <c r="K27" s="25">
        <v>45810</v>
      </c>
      <c r="L27" s="25">
        <v>45821</v>
      </c>
      <c r="M27" s="52"/>
    </row>
    <row r="28" spans="1:13" x14ac:dyDescent="0.3">
      <c r="A28" s="24" t="s">
        <v>323</v>
      </c>
      <c r="B28" s="24" t="s">
        <v>11</v>
      </c>
      <c r="C28" s="24" t="s">
        <v>14</v>
      </c>
      <c r="D28" s="25">
        <v>45747</v>
      </c>
      <c r="E28" s="25">
        <v>45786</v>
      </c>
      <c r="F28" s="48" t="s">
        <v>75</v>
      </c>
      <c r="G28" s="49"/>
      <c r="I28" s="24" t="s">
        <v>311</v>
      </c>
      <c r="J28" s="24" t="s">
        <v>18</v>
      </c>
      <c r="K28" s="25">
        <v>45831</v>
      </c>
      <c r="L28" s="25">
        <v>45842</v>
      </c>
      <c r="M28" s="52"/>
    </row>
    <row r="29" spans="1:13" x14ac:dyDescent="0.3">
      <c r="A29" s="24" t="s">
        <v>323</v>
      </c>
      <c r="B29" s="24" t="s">
        <v>80</v>
      </c>
      <c r="C29" s="24" t="s">
        <v>10</v>
      </c>
      <c r="D29" s="25">
        <v>45775</v>
      </c>
      <c r="E29" s="25">
        <v>45793</v>
      </c>
      <c r="F29" s="48" t="s">
        <v>101</v>
      </c>
      <c r="G29" s="49"/>
      <c r="I29" s="24" t="s">
        <v>311</v>
      </c>
      <c r="J29" s="24" t="s">
        <v>22</v>
      </c>
      <c r="K29" s="25">
        <v>45866</v>
      </c>
      <c r="L29" s="25">
        <v>45877</v>
      </c>
      <c r="M29" s="52"/>
    </row>
    <row r="30" spans="1:13" x14ac:dyDescent="0.3">
      <c r="A30" s="24" t="s">
        <v>323</v>
      </c>
      <c r="B30" s="24" t="s">
        <v>21</v>
      </c>
      <c r="C30" s="24" t="s">
        <v>22</v>
      </c>
      <c r="D30" s="25">
        <v>45775</v>
      </c>
      <c r="E30" s="25">
        <v>45793</v>
      </c>
      <c r="F30" s="48" t="s">
        <v>28</v>
      </c>
      <c r="G30" s="49"/>
      <c r="I30" s="24" t="s">
        <v>310</v>
      </c>
      <c r="J30" s="24" t="s">
        <v>78</v>
      </c>
      <c r="K30" s="25">
        <v>45803</v>
      </c>
      <c r="L30" s="25">
        <v>45954</v>
      </c>
      <c r="M30" s="52" t="s">
        <v>265</v>
      </c>
    </row>
    <row r="31" spans="1:13" x14ac:dyDescent="0.3">
      <c r="A31" s="24" t="s">
        <v>323</v>
      </c>
      <c r="B31" s="24" t="s">
        <v>145</v>
      </c>
      <c r="C31" s="24" t="s">
        <v>25</v>
      </c>
      <c r="D31" s="25">
        <v>45797</v>
      </c>
      <c r="E31" s="25">
        <v>45797</v>
      </c>
      <c r="F31" s="48" t="s">
        <v>225</v>
      </c>
      <c r="G31" s="49" t="s">
        <v>324</v>
      </c>
      <c r="I31" s="24" t="s">
        <v>310</v>
      </c>
      <c r="J31" s="24" t="s">
        <v>16</v>
      </c>
      <c r="K31" s="25">
        <v>45824</v>
      </c>
      <c r="L31" s="25">
        <v>45940</v>
      </c>
      <c r="M31" s="52" t="s">
        <v>265</v>
      </c>
    </row>
    <row r="32" spans="1:13" x14ac:dyDescent="0.3">
      <c r="A32" s="24" t="s">
        <v>323</v>
      </c>
      <c r="B32" s="24" t="s">
        <v>152</v>
      </c>
      <c r="C32" s="24" t="s">
        <v>25</v>
      </c>
      <c r="D32" s="25">
        <v>45798</v>
      </c>
      <c r="E32" s="25">
        <v>45798</v>
      </c>
      <c r="F32" s="48" t="s">
        <v>225</v>
      </c>
      <c r="G32" s="49" t="s">
        <v>346</v>
      </c>
      <c r="I32" s="24" t="s">
        <v>310</v>
      </c>
      <c r="J32" s="24" t="s">
        <v>18</v>
      </c>
      <c r="K32" s="25">
        <v>45845</v>
      </c>
      <c r="L32" s="25">
        <v>45940</v>
      </c>
      <c r="M32" s="52" t="s">
        <v>265</v>
      </c>
    </row>
    <row r="33" spans="1:13" x14ac:dyDescent="0.3">
      <c r="A33" s="24" t="s">
        <v>368</v>
      </c>
      <c r="B33" s="24" t="s">
        <v>6</v>
      </c>
      <c r="C33" s="24" t="s">
        <v>7</v>
      </c>
      <c r="D33" s="25">
        <v>45789</v>
      </c>
      <c r="E33" s="25">
        <v>45814</v>
      </c>
      <c r="F33" s="48" t="s">
        <v>8</v>
      </c>
      <c r="G33" s="49"/>
      <c r="I33" s="24" t="s">
        <v>310</v>
      </c>
      <c r="J33" s="24" t="s">
        <v>22</v>
      </c>
      <c r="K33" s="25">
        <v>45880</v>
      </c>
      <c r="L33" s="25">
        <v>45947</v>
      </c>
      <c r="M33" s="52" t="s">
        <v>265</v>
      </c>
    </row>
    <row r="34" spans="1:13" x14ac:dyDescent="0.3">
      <c r="A34" s="24" t="s">
        <v>368</v>
      </c>
      <c r="B34" s="24" t="s">
        <v>11</v>
      </c>
      <c r="C34" s="24" t="s">
        <v>14</v>
      </c>
      <c r="D34" s="25">
        <v>45789</v>
      </c>
      <c r="E34" s="25">
        <v>45814</v>
      </c>
      <c r="F34" s="48" t="s">
        <v>75</v>
      </c>
      <c r="G34" s="49"/>
      <c r="I34" s="24" t="s">
        <v>310</v>
      </c>
      <c r="J34" s="24" t="s">
        <v>27</v>
      </c>
      <c r="K34" s="25">
        <v>45894</v>
      </c>
      <c r="L34" s="25">
        <v>45940</v>
      </c>
      <c r="M34" s="52" t="s">
        <v>265</v>
      </c>
    </row>
    <row r="35" spans="1:13" x14ac:dyDescent="0.3">
      <c r="A35" s="24" t="s">
        <v>368</v>
      </c>
      <c r="B35" s="24" t="s">
        <v>80</v>
      </c>
      <c r="C35" s="24" t="s">
        <v>10</v>
      </c>
      <c r="D35" s="25">
        <v>45810</v>
      </c>
      <c r="E35" s="25">
        <v>45821</v>
      </c>
      <c r="F35" s="50" t="s">
        <v>101</v>
      </c>
      <c r="G35" s="49" t="s">
        <v>370</v>
      </c>
      <c r="I35" s="24" t="s">
        <v>529</v>
      </c>
      <c r="J35" s="24" t="s">
        <v>25</v>
      </c>
      <c r="K35" s="25">
        <v>45946</v>
      </c>
      <c r="L35" s="25">
        <v>45956</v>
      </c>
      <c r="M35" s="52"/>
    </row>
    <row r="36" spans="1:13" x14ac:dyDescent="0.3">
      <c r="A36" s="24" t="s">
        <v>368</v>
      </c>
      <c r="B36" s="24" t="s">
        <v>21</v>
      </c>
      <c r="C36" s="24" t="s">
        <v>22</v>
      </c>
      <c r="D36" s="25">
        <v>45810</v>
      </c>
      <c r="E36" s="25">
        <v>45821</v>
      </c>
      <c r="F36" s="50" t="s">
        <v>28</v>
      </c>
      <c r="G36" s="49"/>
      <c r="I36" s="24" t="s">
        <v>311</v>
      </c>
      <c r="J36" s="24" t="s">
        <v>10</v>
      </c>
      <c r="K36" s="25">
        <v>45925</v>
      </c>
      <c r="L36" s="25">
        <v>45933</v>
      </c>
      <c r="M36" s="52"/>
    </row>
    <row r="37" spans="1:13" x14ac:dyDescent="0.3">
      <c r="A37" s="24" t="s">
        <v>368</v>
      </c>
      <c r="B37" s="24" t="s">
        <v>26</v>
      </c>
      <c r="C37" s="24" t="s">
        <v>27</v>
      </c>
      <c r="D37" s="25">
        <v>45819</v>
      </c>
      <c r="E37" s="25">
        <v>45825</v>
      </c>
      <c r="F37" s="50" t="s">
        <v>31</v>
      </c>
      <c r="G37" s="49"/>
      <c r="I37" s="24" t="s">
        <v>311</v>
      </c>
      <c r="J37" s="24" t="s">
        <v>14</v>
      </c>
      <c r="K37" s="25">
        <v>45925</v>
      </c>
      <c r="L37" s="25">
        <v>45933</v>
      </c>
      <c r="M37" s="52"/>
    </row>
    <row r="38" spans="1:13" x14ac:dyDescent="0.3">
      <c r="A38" s="24" t="s">
        <v>368</v>
      </c>
      <c r="B38" s="24" t="s">
        <v>145</v>
      </c>
      <c r="C38" s="24" t="s">
        <v>25</v>
      </c>
      <c r="D38" s="25">
        <v>45832</v>
      </c>
      <c r="E38" s="25">
        <v>45832</v>
      </c>
      <c r="F38" s="50" t="s">
        <v>225</v>
      </c>
      <c r="G38" s="49" t="s">
        <v>404</v>
      </c>
      <c r="I38" s="24" t="s">
        <v>401</v>
      </c>
      <c r="J38" s="24" t="s">
        <v>22</v>
      </c>
      <c r="K38" s="25">
        <v>45845</v>
      </c>
      <c r="L38" s="25">
        <v>45845</v>
      </c>
      <c r="M38" s="52"/>
    </row>
    <row r="39" spans="1:13" x14ac:dyDescent="0.3">
      <c r="A39" s="24" t="s">
        <v>386</v>
      </c>
      <c r="B39" s="24" t="s">
        <v>6</v>
      </c>
      <c r="C39" s="24" t="s">
        <v>7</v>
      </c>
      <c r="D39" s="25">
        <v>45810</v>
      </c>
      <c r="E39" s="25">
        <v>45828</v>
      </c>
      <c r="F39" s="48" t="s">
        <v>8</v>
      </c>
      <c r="G39" s="49"/>
      <c r="I39" s="24" t="s">
        <v>412</v>
      </c>
      <c r="J39" s="24" t="s">
        <v>25</v>
      </c>
      <c r="K39" s="25">
        <v>45856</v>
      </c>
      <c r="L39" s="25">
        <v>45887</v>
      </c>
      <c r="M39" s="52"/>
    </row>
    <row r="40" spans="1:13" x14ac:dyDescent="0.3">
      <c r="A40" s="24" t="s">
        <v>386</v>
      </c>
      <c r="B40" s="24" t="s">
        <v>11</v>
      </c>
      <c r="C40" s="24" t="s">
        <v>14</v>
      </c>
      <c r="D40" s="25">
        <v>45810</v>
      </c>
      <c r="E40" s="25">
        <v>45835</v>
      </c>
      <c r="F40" s="48" t="s">
        <v>75</v>
      </c>
      <c r="G40" s="49"/>
      <c r="I40" s="24" t="s">
        <v>311</v>
      </c>
      <c r="J40" s="24" t="s">
        <v>29</v>
      </c>
      <c r="K40" s="25">
        <v>45901</v>
      </c>
      <c r="L40" s="25">
        <v>45905</v>
      </c>
      <c r="M40" s="52"/>
    </row>
    <row r="41" spans="1:13" x14ac:dyDescent="0.3">
      <c r="A41" s="24" t="s">
        <v>386</v>
      </c>
      <c r="B41" s="24" t="s">
        <v>80</v>
      </c>
      <c r="C41" s="24" t="s">
        <v>10</v>
      </c>
      <c r="D41" s="25">
        <v>45824</v>
      </c>
      <c r="E41" s="25">
        <v>45842</v>
      </c>
      <c r="F41" s="50" t="s">
        <v>101</v>
      </c>
      <c r="G41" s="49"/>
      <c r="I41" s="24" t="s">
        <v>310</v>
      </c>
      <c r="J41" s="24" t="s">
        <v>29</v>
      </c>
      <c r="K41" s="25">
        <v>45908</v>
      </c>
      <c r="L41" s="25">
        <v>45940</v>
      </c>
      <c r="M41" s="52" t="s">
        <v>265</v>
      </c>
    </row>
    <row r="42" spans="1:13" x14ac:dyDescent="0.3">
      <c r="A42" s="24" t="s">
        <v>386</v>
      </c>
      <c r="B42" s="24" t="s">
        <v>21</v>
      </c>
      <c r="C42" s="24" t="s">
        <v>22</v>
      </c>
      <c r="D42" s="25">
        <v>45831</v>
      </c>
      <c r="E42" s="25">
        <v>45842</v>
      </c>
      <c r="F42" s="50" t="s">
        <v>28</v>
      </c>
      <c r="G42" s="49"/>
      <c r="I42" s="24" t="s">
        <v>311</v>
      </c>
      <c r="J42" s="24" t="s">
        <v>27</v>
      </c>
      <c r="K42" s="25">
        <v>45868</v>
      </c>
      <c r="L42" s="25">
        <v>45891</v>
      </c>
      <c r="M42" s="52"/>
    </row>
    <row r="43" spans="1:13" x14ac:dyDescent="0.3">
      <c r="A43" s="24" t="s">
        <v>386</v>
      </c>
      <c r="B43" s="24" t="s">
        <v>26</v>
      </c>
      <c r="C43" s="24" t="s">
        <v>27</v>
      </c>
      <c r="D43" s="25">
        <v>45840</v>
      </c>
      <c r="E43" s="25">
        <v>45846</v>
      </c>
      <c r="F43" s="50" t="s">
        <v>31</v>
      </c>
      <c r="G43" s="49"/>
      <c r="I43" s="32" t="s">
        <v>569</v>
      </c>
      <c r="J43" s="2" t="s">
        <v>22</v>
      </c>
      <c r="K43" s="4">
        <v>46050</v>
      </c>
      <c r="L43" s="4">
        <v>46059</v>
      </c>
      <c r="M43" s="38"/>
    </row>
    <row r="44" spans="1:13" x14ac:dyDescent="0.3">
      <c r="A44" s="24" t="s">
        <v>386</v>
      </c>
      <c r="B44" s="24" t="s">
        <v>145</v>
      </c>
      <c r="C44" s="24" t="s">
        <v>25</v>
      </c>
      <c r="D44" s="25">
        <v>45846</v>
      </c>
      <c r="E44" s="25">
        <v>45846</v>
      </c>
      <c r="F44" s="50" t="s">
        <v>225</v>
      </c>
      <c r="G44" s="49" t="s">
        <v>389</v>
      </c>
      <c r="I44" s="32" t="s">
        <v>467</v>
      </c>
      <c r="J44" s="2" t="s">
        <v>22</v>
      </c>
      <c r="K44" s="4">
        <v>46062</v>
      </c>
      <c r="L44" s="4">
        <v>46129</v>
      </c>
      <c r="M44" s="38" t="s">
        <v>263</v>
      </c>
    </row>
    <row r="45" spans="1:13" x14ac:dyDescent="0.3">
      <c r="A45" s="24" t="s">
        <v>329</v>
      </c>
      <c r="B45" s="24" t="s">
        <v>6</v>
      </c>
      <c r="C45" s="24" t="s">
        <v>7</v>
      </c>
      <c r="D45" s="25">
        <v>45769</v>
      </c>
      <c r="E45" s="25">
        <v>45842</v>
      </c>
      <c r="F45" s="50" t="s">
        <v>8</v>
      </c>
      <c r="G45" s="49"/>
      <c r="I45" s="32" t="s">
        <v>24</v>
      </c>
      <c r="J45" s="32" t="s">
        <v>25</v>
      </c>
      <c r="K45" s="82">
        <v>46094</v>
      </c>
      <c r="L45" s="82">
        <v>46104</v>
      </c>
      <c r="M45" s="83"/>
    </row>
    <row r="46" spans="1:13" x14ac:dyDescent="0.3">
      <c r="A46" s="24" t="s">
        <v>329</v>
      </c>
      <c r="B46" s="24" t="s">
        <v>11</v>
      </c>
      <c r="C46" s="24" t="s">
        <v>78</v>
      </c>
      <c r="D46" s="25">
        <v>45769</v>
      </c>
      <c r="E46" s="25">
        <v>45842</v>
      </c>
      <c r="F46" s="50" t="s">
        <v>13</v>
      </c>
      <c r="G46" s="49"/>
      <c r="I46" s="32" t="s">
        <v>568</v>
      </c>
      <c r="J46" s="2" t="s">
        <v>29</v>
      </c>
      <c r="K46" s="4">
        <v>46008</v>
      </c>
      <c r="L46" s="4">
        <v>46014</v>
      </c>
      <c r="M46" s="38"/>
    </row>
    <row r="47" spans="1:13" x14ac:dyDescent="0.3">
      <c r="A47" s="24" t="s">
        <v>329</v>
      </c>
      <c r="B47" s="24" t="s">
        <v>15</v>
      </c>
      <c r="C47" s="24" t="s">
        <v>16</v>
      </c>
      <c r="D47" s="25">
        <v>45824</v>
      </c>
      <c r="E47" s="25">
        <v>45940</v>
      </c>
      <c r="F47" s="50" t="s">
        <v>17</v>
      </c>
      <c r="G47" s="49"/>
      <c r="I47" s="32" t="s">
        <v>568</v>
      </c>
      <c r="J47" s="2" t="s">
        <v>22</v>
      </c>
      <c r="K47" s="4">
        <v>46043</v>
      </c>
      <c r="L47" s="4">
        <v>46049</v>
      </c>
      <c r="M47" s="38"/>
    </row>
    <row r="48" spans="1:13" x14ac:dyDescent="0.3">
      <c r="A48" s="24" t="s">
        <v>329</v>
      </c>
      <c r="B48" s="24" t="s">
        <v>19</v>
      </c>
      <c r="C48" s="24" t="s">
        <v>18</v>
      </c>
      <c r="D48" s="25">
        <v>45845</v>
      </c>
      <c r="E48" s="25">
        <v>45940</v>
      </c>
      <c r="F48" s="50" t="s">
        <v>98</v>
      </c>
      <c r="G48" s="49"/>
      <c r="I48" s="32" t="s">
        <v>568</v>
      </c>
      <c r="J48" s="2" t="s">
        <v>10</v>
      </c>
      <c r="K48" s="4">
        <v>46001</v>
      </c>
      <c r="L48" s="4">
        <v>46010</v>
      </c>
      <c r="M48" s="38"/>
    </row>
    <row r="49" spans="1:7" x14ac:dyDescent="0.3">
      <c r="A49" s="24" t="s">
        <v>329</v>
      </c>
      <c r="B49" s="24" t="s">
        <v>21</v>
      </c>
      <c r="C49" s="24" t="s">
        <v>22</v>
      </c>
      <c r="D49" s="25">
        <v>45880</v>
      </c>
      <c r="E49" s="25">
        <v>45947</v>
      </c>
      <c r="F49" s="50" t="s">
        <v>28</v>
      </c>
      <c r="G49" s="49"/>
    </row>
    <row r="50" spans="1:7" x14ac:dyDescent="0.3">
      <c r="A50" s="24" t="s">
        <v>329</v>
      </c>
      <c r="B50" s="24" t="s">
        <v>26</v>
      </c>
      <c r="C50" s="24" t="s">
        <v>27</v>
      </c>
      <c r="D50" s="25">
        <v>45880</v>
      </c>
      <c r="E50" s="25">
        <v>45940</v>
      </c>
      <c r="F50" s="50" t="s">
        <v>31</v>
      </c>
      <c r="G50" s="49"/>
    </row>
    <row r="51" spans="1:7" x14ac:dyDescent="0.3">
      <c r="A51" s="24" t="s">
        <v>329</v>
      </c>
      <c r="B51" s="24" t="s">
        <v>145</v>
      </c>
      <c r="C51" s="24" t="s">
        <v>25</v>
      </c>
      <c r="D51" s="25">
        <v>45943</v>
      </c>
      <c r="E51" s="25">
        <v>45943</v>
      </c>
      <c r="F51" s="50" t="s">
        <v>225</v>
      </c>
      <c r="G51" s="49" t="s">
        <v>330</v>
      </c>
    </row>
    <row r="52" spans="1:7" x14ac:dyDescent="0.3">
      <c r="A52" s="24" t="s">
        <v>379</v>
      </c>
      <c r="B52" s="24" t="s">
        <v>6</v>
      </c>
      <c r="C52" s="24" t="s">
        <v>7</v>
      </c>
      <c r="D52" s="25">
        <v>45789</v>
      </c>
      <c r="E52" s="25">
        <v>45814</v>
      </c>
      <c r="F52" s="50" t="s">
        <v>8</v>
      </c>
      <c r="G52" s="49"/>
    </row>
    <row r="53" spans="1:7" x14ac:dyDescent="0.3">
      <c r="A53" s="24" t="s">
        <v>379</v>
      </c>
      <c r="B53" s="24" t="s">
        <v>11</v>
      </c>
      <c r="C53" s="24" t="s">
        <v>14</v>
      </c>
      <c r="D53" s="25">
        <v>45789</v>
      </c>
      <c r="E53" s="25">
        <v>45814</v>
      </c>
      <c r="F53" s="50" t="s">
        <v>75</v>
      </c>
      <c r="G53" s="49"/>
    </row>
    <row r="54" spans="1:7" x14ac:dyDescent="0.3">
      <c r="A54" s="24" t="s">
        <v>379</v>
      </c>
      <c r="B54" s="24" t="s">
        <v>80</v>
      </c>
      <c r="C54" s="24" t="s">
        <v>10</v>
      </c>
      <c r="D54" s="25">
        <v>45810</v>
      </c>
      <c r="E54" s="25">
        <v>45814</v>
      </c>
      <c r="F54" s="50" t="s">
        <v>101</v>
      </c>
      <c r="G54" s="49" t="s">
        <v>382</v>
      </c>
    </row>
    <row r="55" spans="1:7" x14ac:dyDescent="0.3">
      <c r="A55" s="24" t="s">
        <v>379</v>
      </c>
      <c r="B55" s="24" t="s">
        <v>21</v>
      </c>
      <c r="C55" s="24" t="s">
        <v>22</v>
      </c>
      <c r="D55" s="25">
        <v>45810</v>
      </c>
      <c r="E55" s="25">
        <v>45828</v>
      </c>
      <c r="F55" s="50" t="s">
        <v>28</v>
      </c>
      <c r="G55" s="49"/>
    </row>
    <row r="56" spans="1:7" x14ac:dyDescent="0.3">
      <c r="A56" s="24" t="s">
        <v>379</v>
      </c>
      <c r="B56" s="24" t="s">
        <v>26</v>
      </c>
      <c r="C56" s="24" t="s">
        <v>27</v>
      </c>
      <c r="D56" s="25">
        <v>45820</v>
      </c>
      <c r="E56" s="25">
        <v>45832</v>
      </c>
      <c r="F56" s="50" t="s">
        <v>31</v>
      </c>
      <c r="G56" s="49"/>
    </row>
    <row r="57" spans="1:7" x14ac:dyDescent="0.3">
      <c r="A57" s="24" t="s">
        <v>379</v>
      </c>
      <c r="B57" s="24" t="s">
        <v>145</v>
      </c>
      <c r="C57" s="24" t="s">
        <v>25</v>
      </c>
      <c r="D57" s="25">
        <v>45832</v>
      </c>
      <c r="E57" s="25">
        <v>45832</v>
      </c>
      <c r="F57" s="50" t="s">
        <v>225</v>
      </c>
      <c r="G57" s="49" t="s">
        <v>438</v>
      </c>
    </row>
    <row r="58" spans="1:7" x14ac:dyDescent="0.3">
      <c r="A58" s="24" t="s">
        <v>348</v>
      </c>
      <c r="B58" s="24" t="s">
        <v>6</v>
      </c>
      <c r="C58" s="24" t="s">
        <v>7</v>
      </c>
      <c r="D58" s="25">
        <v>45659</v>
      </c>
      <c r="E58" s="25">
        <v>45828</v>
      </c>
      <c r="F58" s="50" t="s">
        <v>8</v>
      </c>
      <c r="G58" s="49"/>
    </row>
    <row r="59" spans="1:7" x14ac:dyDescent="0.3">
      <c r="A59" s="24" t="s">
        <v>348</v>
      </c>
      <c r="B59" s="24" t="s">
        <v>11</v>
      </c>
      <c r="C59" s="24" t="s">
        <v>14</v>
      </c>
      <c r="D59" s="25">
        <v>45689</v>
      </c>
      <c r="E59" s="25">
        <v>45828</v>
      </c>
      <c r="F59" s="50" t="s">
        <v>75</v>
      </c>
      <c r="G59" s="49"/>
    </row>
    <row r="60" spans="1:7" x14ac:dyDescent="0.3">
      <c r="A60" s="24" t="s">
        <v>350</v>
      </c>
      <c r="B60" s="24" t="s">
        <v>6</v>
      </c>
      <c r="C60" s="24" t="s">
        <v>7</v>
      </c>
      <c r="D60" s="25">
        <v>45831</v>
      </c>
      <c r="E60" s="25">
        <v>45926</v>
      </c>
      <c r="F60" s="50" t="s">
        <v>8</v>
      </c>
      <c r="G60" s="49"/>
    </row>
    <row r="61" spans="1:7" x14ac:dyDescent="0.3">
      <c r="A61" s="24" t="s">
        <v>350</v>
      </c>
      <c r="B61" s="24" t="s">
        <v>11</v>
      </c>
      <c r="C61" s="24" t="s">
        <v>78</v>
      </c>
      <c r="D61" s="25">
        <v>45831</v>
      </c>
      <c r="E61" s="25">
        <v>45926</v>
      </c>
      <c r="F61" s="50" t="s">
        <v>13</v>
      </c>
      <c r="G61" s="49"/>
    </row>
    <row r="62" spans="1:7" x14ac:dyDescent="0.3">
      <c r="A62" s="24" t="s">
        <v>350</v>
      </c>
      <c r="B62" s="24" t="s">
        <v>15</v>
      </c>
      <c r="C62" s="24" t="s">
        <v>16</v>
      </c>
      <c r="D62" s="25">
        <v>45824</v>
      </c>
      <c r="E62" s="25">
        <v>45940</v>
      </c>
      <c r="F62" s="50" t="s">
        <v>17</v>
      </c>
      <c r="G62" s="49"/>
    </row>
    <row r="63" spans="1:7" x14ac:dyDescent="0.3">
      <c r="A63" s="24" t="s">
        <v>350</v>
      </c>
      <c r="B63" s="24" t="s">
        <v>19</v>
      </c>
      <c r="C63" s="24" t="s">
        <v>18</v>
      </c>
      <c r="D63" s="25">
        <v>45845</v>
      </c>
      <c r="E63" s="25">
        <v>45940</v>
      </c>
      <c r="F63" s="50" t="s">
        <v>98</v>
      </c>
      <c r="G63" s="49"/>
    </row>
    <row r="64" spans="1:7" x14ac:dyDescent="0.3">
      <c r="A64" s="24" t="s">
        <v>350</v>
      </c>
      <c r="B64" s="24" t="s">
        <v>21</v>
      </c>
      <c r="C64" s="24" t="s">
        <v>22</v>
      </c>
      <c r="D64" s="25">
        <v>45845</v>
      </c>
      <c r="E64" s="25">
        <v>45863</v>
      </c>
      <c r="F64" s="50" t="s">
        <v>28</v>
      </c>
      <c r="G64" s="49" t="s">
        <v>396</v>
      </c>
    </row>
    <row r="65" spans="1:7" x14ac:dyDescent="0.3">
      <c r="A65" s="24" t="s">
        <v>350</v>
      </c>
      <c r="B65" s="24" t="s">
        <v>21</v>
      </c>
      <c r="C65" s="24" t="s">
        <v>22</v>
      </c>
      <c r="D65" s="25">
        <v>45880</v>
      </c>
      <c r="E65" s="25">
        <v>45940</v>
      </c>
      <c r="F65" s="50" t="s">
        <v>28</v>
      </c>
      <c r="G65" s="49" t="s">
        <v>397</v>
      </c>
    </row>
    <row r="66" spans="1:7" x14ac:dyDescent="0.3">
      <c r="A66" s="24" t="s">
        <v>350</v>
      </c>
      <c r="B66" s="24" t="s">
        <v>21</v>
      </c>
      <c r="C66" s="24" t="s">
        <v>29</v>
      </c>
      <c r="D66" s="25">
        <v>45908</v>
      </c>
      <c r="E66" s="25">
        <v>45940</v>
      </c>
      <c r="F66" s="50" t="s">
        <v>111</v>
      </c>
      <c r="G66" s="49" t="s">
        <v>397</v>
      </c>
    </row>
    <row r="67" spans="1:7" x14ac:dyDescent="0.3">
      <c r="A67" s="24" t="s">
        <v>350</v>
      </c>
      <c r="B67" s="24" t="s">
        <v>144</v>
      </c>
      <c r="C67" s="24" t="s">
        <v>25</v>
      </c>
      <c r="D67" s="25">
        <v>45943</v>
      </c>
      <c r="E67" s="25">
        <v>45943</v>
      </c>
      <c r="F67" s="50" t="s">
        <v>225</v>
      </c>
      <c r="G67" s="49" t="s">
        <v>530</v>
      </c>
    </row>
    <row r="68" spans="1:7" x14ac:dyDescent="0.3">
      <c r="A68" s="24" t="s">
        <v>350</v>
      </c>
      <c r="B68" s="24" t="s">
        <v>152</v>
      </c>
      <c r="C68" s="24" t="s">
        <v>25</v>
      </c>
      <c r="D68" s="25">
        <v>45974</v>
      </c>
      <c r="E68" s="25">
        <v>45974</v>
      </c>
      <c r="F68" s="50" t="s">
        <v>225</v>
      </c>
      <c r="G68" s="49" t="s">
        <v>599</v>
      </c>
    </row>
    <row r="69" spans="1:7" x14ac:dyDescent="0.3">
      <c r="A69" s="24" t="s">
        <v>353</v>
      </c>
      <c r="B69" s="24" t="s">
        <v>6</v>
      </c>
      <c r="C69" s="24" t="s">
        <v>7</v>
      </c>
      <c r="D69" s="25">
        <v>45929</v>
      </c>
      <c r="E69" s="25">
        <v>45975</v>
      </c>
      <c r="F69" s="50" t="s">
        <v>8</v>
      </c>
      <c r="G69" s="49"/>
    </row>
    <row r="70" spans="1:7" x14ac:dyDescent="0.3">
      <c r="A70" s="24" t="s">
        <v>353</v>
      </c>
      <c r="B70" s="24" t="s">
        <v>11</v>
      </c>
      <c r="C70" s="24" t="s">
        <v>14</v>
      </c>
      <c r="D70" s="25">
        <v>45936</v>
      </c>
      <c r="E70" s="25">
        <v>45975</v>
      </c>
      <c r="F70" s="50" t="s">
        <v>75</v>
      </c>
      <c r="G70" s="49"/>
    </row>
    <row r="71" spans="1:7" x14ac:dyDescent="0.3">
      <c r="A71" s="24" t="s">
        <v>353</v>
      </c>
      <c r="B71" s="24" t="s">
        <v>80</v>
      </c>
      <c r="C71" s="24" t="s">
        <v>10</v>
      </c>
      <c r="D71" s="25">
        <v>45936</v>
      </c>
      <c r="E71" s="25">
        <v>45975</v>
      </c>
      <c r="F71" s="50" t="s">
        <v>101</v>
      </c>
      <c r="G71" s="49"/>
    </row>
    <row r="72" spans="1:7" x14ac:dyDescent="0.3">
      <c r="A72" s="24" t="s">
        <v>353</v>
      </c>
      <c r="B72" s="24" t="s">
        <v>21</v>
      </c>
      <c r="C72" s="24" t="s">
        <v>22</v>
      </c>
      <c r="D72" s="25">
        <v>45957</v>
      </c>
      <c r="E72" s="25">
        <v>45975</v>
      </c>
      <c r="F72" s="50" t="s">
        <v>28</v>
      </c>
      <c r="G72" s="49"/>
    </row>
    <row r="73" spans="1:7" x14ac:dyDescent="0.3">
      <c r="A73" s="24" t="s">
        <v>353</v>
      </c>
      <c r="B73" s="24" t="s">
        <v>26</v>
      </c>
      <c r="C73" s="24" t="s">
        <v>27</v>
      </c>
      <c r="D73" s="25">
        <v>45971</v>
      </c>
      <c r="E73" s="25">
        <v>45979</v>
      </c>
      <c r="F73" s="50" t="s">
        <v>31</v>
      </c>
      <c r="G73" s="49"/>
    </row>
    <row r="74" spans="1:7" x14ac:dyDescent="0.3">
      <c r="A74" s="24" t="s">
        <v>353</v>
      </c>
      <c r="B74" s="24" t="s">
        <v>145</v>
      </c>
      <c r="C74" s="24" t="s">
        <v>25</v>
      </c>
      <c r="D74" s="25">
        <v>45979</v>
      </c>
      <c r="E74" s="25">
        <v>45979</v>
      </c>
      <c r="F74" s="50" t="s">
        <v>225</v>
      </c>
      <c r="G74" s="49" t="s">
        <v>573</v>
      </c>
    </row>
    <row r="75" spans="1:7" x14ac:dyDescent="0.3">
      <c r="A75" s="2" t="s">
        <v>353</v>
      </c>
      <c r="B75" s="2" t="s">
        <v>152</v>
      </c>
      <c r="C75" s="2" t="s">
        <v>25</v>
      </c>
      <c r="D75" s="4">
        <v>45987</v>
      </c>
      <c r="E75" s="4">
        <v>45987</v>
      </c>
      <c r="F75" s="33" t="s">
        <v>225</v>
      </c>
      <c r="G75" s="36" t="s">
        <v>601</v>
      </c>
    </row>
    <row r="76" spans="1:7" x14ac:dyDescent="0.3">
      <c r="A76" s="2" t="s">
        <v>353</v>
      </c>
      <c r="B76" s="2" t="s">
        <v>152</v>
      </c>
      <c r="C76" s="2" t="s">
        <v>25</v>
      </c>
      <c r="D76" s="4">
        <v>45993</v>
      </c>
      <c r="E76" s="4">
        <v>45993</v>
      </c>
      <c r="F76" s="33" t="s">
        <v>225</v>
      </c>
      <c r="G76" s="36" t="s">
        <v>600</v>
      </c>
    </row>
    <row r="77" spans="1:7" x14ac:dyDescent="0.3">
      <c r="A77" s="2" t="s">
        <v>353</v>
      </c>
      <c r="B77" s="2" t="s">
        <v>152</v>
      </c>
      <c r="C77" s="2" t="s">
        <v>25</v>
      </c>
      <c r="D77" s="4">
        <v>46069</v>
      </c>
      <c r="E77" s="4">
        <v>46069</v>
      </c>
      <c r="F77" s="38" t="s">
        <v>225</v>
      </c>
      <c r="G77" s="36" t="s">
        <v>536</v>
      </c>
    </row>
    <row r="78" spans="1:7" x14ac:dyDescent="0.3">
      <c r="A78" s="2" t="s">
        <v>570</v>
      </c>
      <c r="B78" s="2" t="s">
        <v>6</v>
      </c>
      <c r="C78" s="2" t="s">
        <v>7</v>
      </c>
      <c r="D78" s="4">
        <v>45950</v>
      </c>
      <c r="E78" s="4">
        <v>45968</v>
      </c>
      <c r="F78" s="38" t="s">
        <v>8</v>
      </c>
      <c r="G78" s="36"/>
    </row>
    <row r="79" spans="1:7" x14ac:dyDescent="0.3">
      <c r="A79" s="2" t="s">
        <v>570</v>
      </c>
      <c r="B79" s="2" t="s">
        <v>11</v>
      </c>
      <c r="C79" s="2" t="s">
        <v>14</v>
      </c>
      <c r="D79" s="4">
        <v>45950</v>
      </c>
      <c r="E79" s="4">
        <v>45968</v>
      </c>
      <c r="F79" s="38" t="s">
        <v>75</v>
      </c>
      <c r="G79" s="36"/>
    </row>
    <row r="80" spans="1:7" x14ac:dyDescent="0.3">
      <c r="A80" s="2" t="s">
        <v>570</v>
      </c>
      <c r="B80" s="2" t="s">
        <v>80</v>
      </c>
      <c r="C80" s="2" t="s">
        <v>10</v>
      </c>
      <c r="D80" s="4">
        <v>45971</v>
      </c>
      <c r="E80" s="4">
        <v>45989</v>
      </c>
      <c r="F80" s="38" t="s">
        <v>101</v>
      </c>
      <c r="G80" s="36"/>
    </row>
    <row r="81" spans="1:7" x14ac:dyDescent="0.3">
      <c r="A81" s="2" t="s">
        <v>570</v>
      </c>
      <c r="B81" s="2" t="s">
        <v>21</v>
      </c>
      <c r="C81" s="2" t="s">
        <v>22</v>
      </c>
      <c r="D81" s="4">
        <v>45978</v>
      </c>
      <c r="E81" s="4">
        <v>45996</v>
      </c>
      <c r="F81" s="38" t="s">
        <v>28</v>
      </c>
      <c r="G81" s="111"/>
    </row>
    <row r="82" spans="1:7" x14ac:dyDescent="0.3">
      <c r="A82" s="2" t="s">
        <v>570</v>
      </c>
      <c r="B82" s="2" t="s">
        <v>145</v>
      </c>
      <c r="C82" s="2" t="s">
        <v>25</v>
      </c>
      <c r="D82" s="4">
        <v>46000</v>
      </c>
      <c r="E82" s="4">
        <v>46000</v>
      </c>
      <c r="F82" s="38" t="s">
        <v>225</v>
      </c>
      <c r="G82" s="36" t="s">
        <v>573</v>
      </c>
    </row>
    <row r="83" spans="1:7" x14ac:dyDescent="0.3">
      <c r="A83" s="2" t="s">
        <v>596</v>
      </c>
      <c r="B83" s="2" t="s">
        <v>6</v>
      </c>
      <c r="C83" s="2" t="s">
        <v>7</v>
      </c>
      <c r="D83" s="4">
        <v>45978</v>
      </c>
      <c r="E83" s="4">
        <v>45982</v>
      </c>
      <c r="F83" s="38" t="s">
        <v>8</v>
      </c>
      <c r="G83" s="36"/>
    </row>
    <row r="84" spans="1:7" x14ac:dyDescent="0.3">
      <c r="A84" s="2" t="s">
        <v>596</v>
      </c>
      <c r="B84" s="2" t="s">
        <v>11</v>
      </c>
      <c r="C84" s="2" t="s">
        <v>14</v>
      </c>
      <c r="D84" s="4">
        <v>45978</v>
      </c>
      <c r="E84" s="4">
        <v>45982</v>
      </c>
      <c r="F84" s="38" t="s">
        <v>75</v>
      </c>
      <c r="G84" s="36"/>
    </row>
    <row r="85" spans="1:7" x14ac:dyDescent="0.3">
      <c r="A85" s="2" t="s">
        <v>596</v>
      </c>
      <c r="B85" s="2" t="s">
        <v>80</v>
      </c>
      <c r="C85" s="2" t="s">
        <v>10</v>
      </c>
      <c r="D85" s="4">
        <v>45985</v>
      </c>
      <c r="E85" s="4">
        <v>45989</v>
      </c>
      <c r="F85" s="38" t="s">
        <v>101</v>
      </c>
      <c r="G85" s="36"/>
    </row>
    <row r="86" spans="1:7" x14ac:dyDescent="0.3">
      <c r="A86" s="2" t="s">
        <v>596</v>
      </c>
      <c r="B86" s="2" t="s">
        <v>21</v>
      </c>
      <c r="C86" s="2" t="s">
        <v>22</v>
      </c>
      <c r="D86" s="4">
        <v>45985</v>
      </c>
      <c r="E86" s="4">
        <v>45996</v>
      </c>
      <c r="F86" s="38" t="s">
        <v>28</v>
      </c>
      <c r="G86" s="36"/>
    </row>
    <row r="87" spans="1:7" x14ac:dyDescent="0.3">
      <c r="A87" s="2" t="s">
        <v>596</v>
      </c>
      <c r="B87" s="2" t="s">
        <v>26</v>
      </c>
      <c r="C87" s="2" t="s">
        <v>27</v>
      </c>
      <c r="D87" s="4">
        <v>45994</v>
      </c>
      <c r="E87" s="4">
        <v>46000</v>
      </c>
      <c r="F87" s="38" t="s">
        <v>31</v>
      </c>
      <c r="G87" s="36"/>
    </row>
    <row r="88" spans="1:7" x14ac:dyDescent="0.3">
      <c r="A88" s="2" t="s">
        <v>596</v>
      </c>
      <c r="B88" s="2" t="s">
        <v>145</v>
      </c>
      <c r="C88" s="2" t="s">
        <v>25</v>
      </c>
      <c r="D88" s="4">
        <v>46000</v>
      </c>
      <c r="E88" s="4">
        <v>46000</v>
      </c>
      <c r="F88" s="38" t="s">
        <v>225</v>
      </c>
      <c r="G88" s="36" t="s">
        <v>540</v>
      </c>
    </row>
    <row r="89" spans="1:7" x14ac:dyDescent="0.3">
      <c r="A89" s="24" t="s">
        <v>537</v>
      </c>
      <c r="B89" s="24" t="s">
        <v>6</v>
      </c>
      <c r="C89" s="24" t="s">
        <v>7</v>
      </c>
      <c r="D89" s="25">
        <v>45943</v>
      </c>
      <c r="E89" s="25">
        <v>45954</v>
      </c>
      <c r="F89" s="52" t="s">
        <v>8</v>
      </c>
      <c r="G89" s="49" t="s">
        <v>549</v>
      </c>
    </row>
    <row r="90" spans="1:7" x14ac:dyDescent="0.3">
      <c r="A90" s="24" t="s">
        <v>537</v>
      </c>
      <c r="B90" s="24" t="s">
        <v>11</v>
      </c>
      <c r="C90" s="24" t="s">
        <v>14</v>
      </c>
      <c r="D90" s="25">
        <v>45943</v>
      </c>
      <c r="E90" s="25">
        <v>45954</v>
      </c>
      <c r="F90" s="52" t="s">
        <v>75</v>
      </c>
      <c r="G90" s="49" t="s">
        <v>549</v>
      </c>
    </row>
    <row r="91" spans="1:7" x14ac:dyDescent="0.3">
      <c r="A91" s="24" t="s">
        <v>537</v>
      </c>
      <c r="B91" s="24" t="s">
        <v>80</v>
      </c>
      <c r="C91" s="24" t="s">
        <v>10</v>
      </c>
      <c r="D91" s="25">
        <v>45957</v>
      </c>
      <c r="E91" s="25">
        <v>45961</v>
      </c>
      <c r="F91" s="52" t="s">
        <v>101</v>
      </c>
      <c r="G91" s="49" t="s">
        <v>370</v>
      </c>
    </row>
    <row r="92" spans="1:7" x14ac:dyDescent="0.3">
      <c r="A92" s="24" t="s">
        <v>537</v>
      </c>
      <c r="B92" s="24" t="s">
        <v>21</v>
      </c>
      <c r="C92" s="24" t="s">
        <v>22</v>
      </c>
      <c r="D92" s="25">
        <v>45957</v>
      </c>
      <c r="E92" s="25">
        <v>45975</v>
      </c>
      <c r="F92" s="52" t="s">
        <v>28</v>
      </c>
      <c r="G92" s="49"/>
    </row>
    <row r="93" spans="1:7" x14ac:dyDescent="0.3">
      <c r="A93" s="24" t="s">
        <v>537</v>
      </c>
      <c r="B93" s="24" t="s">
        <v>26</v>
      </c>
      <c r="C93" s="24" t="s">
        <v>27</v>
      </c>
      <c r="D93" s="25">
        <v>45973</v>
      </c>
      <c r="E93" s="25">
        <v>45979</v>
      </c>
      <c r="F93" s="52" t="s">
        <v>31</v>
      </c>
      <c r="G93" s="49" t="s">
        <v>527</v>
      </c>
    </row>
    <row r="94" spans="1:7" x14ac:dyDescent="0.3">
      <c r="A94" s="24" t="s">
        <v>537</v>
      </c>
      <c r="B94" s="24" t="s">
        <v>145</v>
      </c>
      <c r="C94" s="24" t="s">
        <v>25</v>
      </c>
      <c r="D94" s="25">
        <v>45979</v>
      </c>
      <c r="E94" s="25">
        <v>45979</v>
      </c>
      <c r="F94" s="50" t="s">
        <v>225</v>
      </c>
      <c r="G94" s="49" t="s">
        <v>540</v>
      </c>
    </row>
    <row r="95" spans="1:7" x14ac:dyDescent="0.3">
      <c r="A95" s="24" t="s">
        <v>33</v>
      </c>
      <c r="B95" s="24" t="s">
        <v>6</v>
      </c>
      <c r="C95" s="24" t="s">
        <v>7</v>
      </c>
      <c r="D95" s="25">
        <v>45446</v>
      </c>
      <c r="E95" s="25">
        <v>45688</v>
      </c>
      <c r="F95" s="50" t="s">
        <v>8</v>
      </c>
      <c r="G95" s="49"/>
    </row>
    <row r="96" spans="1:7" x14ac:dyDescent="0.3">
      <c r="A96" s="24" t="s">
        <v>33</v>
      </c>
      <c r="B96" s="24" t="s">
        <v>11</v>
      </c>
      <c r="C96" s="24" t="s">
        <v>14</v>
      </c>
      <c r="D96" s="25">
        <v>45586</v>
      </c>
      <c r="E96" s="25">
        <v>45688</v>
      </c>
      <c r="F96" s="50" t="s">
        <v>75</v>
      </c>
      <c r="G96" s="49"/>
    </row>
    <row r="97" spans="1:7" x14ac:dyDescent="0.3">
      <c r="A97" s="24" t="s">
        <v>33</v>
      </c>
      <c r="B97" s="24" t="s">
        <v>11</v>
      </c>
      <c r="C97" s="24" t="s">
        <v>78</v>
      </c>
      <c r="D97" s="25">
        <v>45453</v>
      </c>
      <c r="E97" s="25">
        <v>45625</v>
      </c>
      <c r="F97" s="50" t="s">
        <v>13</v>
      </c>
      <c r="G97" s="49"/>
    </row>
    <row r="98" spans="1:7" x14ac:dyDescent="0.3">
      <c r="A98" s="24" t="s">
        <v>33</v>
      </c>
      <c r="B98" s="24" t="s">
        <v>11</v>
      </c>
      <c r="C98" s="24" t="s">
        <v>78</v>
      </c>
      <c r="D98" s="25">
        <v>45663</v>
      </c>
      <c r="E98" s="25">
        <v>45730</v>
      </c>
      <c r="F98" s="50" t="s">
        <v>13</v>
      </c>
      <c r="G98" s="49" t="s">
        <v>285</v>
      </c>
    </row>
    <row r="99" spans="1:7" x14ac:dyDescent="0.3">
      <c r="A99" s="24" t="s">
        <v>33</v>
      </c>
      <c r="B99" s="24" t="s">
        <v>15</v>
      </c>
      <c r="C99" s="24" t="s">
        <v>222</v>
      </c>
      <c r="D99" s="25">
        <v>45677</v>
      </c>
      <c r="E99" s="25">
        <v>45758</v>
      </c>
      <c r="F99" s="50" t="s">
        <v>20</v>
      </c>
      <c r="G99" s="49"/>
    </row>
    <row r="100" spans="1:7" x14ac:dyDescent="0.3">
      <c r="A100" s="45" t="s">
        <v>33</v>
      </c>
      <c r="B100" s="45" t="s">
        <v>19</v>
      </c>
      <c r="C100" s="45" t="s">
        <v>18</v>
      </c>
      <c r="D100" s="46">
        <v>45698</v>
      </c>
      <c r="E100" s="46">
        <v>45758</v>
      </c>
      <c r="F100" s="50" t="s">
        <v>98</v>
      </c>
      <c r="G100" s="51"/>
    </row>
    <row r="101" spans="1:7" x14ac:dyDescent="0.3">
      <c r="A101" s="24" t="s">
        <v>33</v>
      </c>
      <c r="B101" s="24" t="s">
        <v>80</v>
      </c>
      <c r="C101" s="24" t="s">
        <v>10</v>
      </c>
      <c r="D101" s="25">
        <v>45593</v>
      </c>
      <c r="E101" s="25">
        <v>45667</v>
      </c>
      <c r="F101" s="52" t="s">
        <v>101</v>
      </c>
      <c r="G101" s="49"/>
    </row>
    <row r="102" spans="1:7" x14ac:dyDescent="0.3">
      <c r="A102" s="24" t="s">
        <v>33</v>
      </c>
      <c r="B102" s="24" t="s">
        <v>89</v>
      </c>
      <c r="C102" s="24" t="s">
        <v>10</v>
      </c>
      <c r="D102" s="25">
        <v>45687</v>
      </c>
      <c r="E102" s="25">
        <v>45687</v>
      </c>
      <c r="F102" s="50" t="s">
        <v>101</v>
      </c>
      <c r="G102" s="49" t="s">
        <v>292</v>
      </c>
    </row>
    <row r="103" spans="1:7" x14ac:dyDescent="0.3">
      <c r="A103" s="24" t="s">
        <v>33</v>
      </c>
      <c r="B103" s="24" t="s">
        <v>21</v>
      </c>
      <c r="C103" s="24" t="s">
        <v>22</v>
      </c>
      <c r="D103" s="25">
        <v>45593</v>
      </c>
      <c r="E103" s="25">
        <v>45674</v>
      </c>
      <c r="F103" s="50" t="s">
        <v>28</v>
      </c>
      <c r="G103" s="49"/>
    </row>
    <row r="104" spans="1:7" x14ac:dyDescent="0.3">
      <c r="A104" s="24" t="s">
        <v>33</v>
      </c>
      <c r="B104" s="24" t="s">
        <v>21</v>
      </c>
      <c r="C104" s="24" t="s">
        <v>22</v>
      </c>
      <c r="D104" s="25">
        <v>45698</v>
      </c>
      <c r="E104" s="25">
        <v>45758</v>
      </c>
      <c r="F104" s="50" t="s">
        <v>28</v>
      </c>
      <c r="G104" s="49"/>
    </row>
    <row r="105" spans="1:7" x14ac:dyDescent="0.3">
      <c r="A105" s="24" t="s">
        <v>33</v>
      </c>
      <c r="B105" s="24" t="s">
        <v>21</v>
      </c>
      <c r="C105" s="24" t="s">
        <v>29</v>
      </c>
      <c r="D105" s="25">
        <v>45677</v>
      </c>
      <c r="E105" s="25">
        <v>45679</v>
      </c>
      <c r="F105" s="50" t="s">
        <v>111</v>
      </c>
      <c r="G105" s="49" t="s">
        <v>179</v>
      </c>
    </row>
    <row r="106" spans="1:7" x14ac:dyDescent="0.3">
      <c r="A106" s="24" t="s">
        <v>33</v>
      </c>
      <c r="B106" s="24" t="s">
        <v>21</v>
      </c>
      <c r="C106" s="24" t="s">
        <v>29</v>
      </c>
      <c r="D106" s="25">
        <v>45723</v>
      </c>
      <c r="E106" s="25">
        <v>45728</v>
      </c>
      <c r="F106" s="50" t="s">
        <v>111</v>
      </c>
      <c r="G106" s="49" t="s">
        <v>305</v>
      </c>
    </row>
    <row r="107" spans="1:7" x14ac:dyDescent="0.3">
      <c r="A107" s="24" t="s">
        <v>33</v>
      </c>
      <c r="B107" s="24" t="s">
        <v>26</v>
      </c>
      <c r="C107" s="24" t="s">
        <v>27</v>
      </c>
      <c r="D107" s="25">
        <v>45659</v>
      </c>
      <c r="E107" s="25">
        <v>45702</v>
      </c>
      <c r="F107" s="50" t="s">
        <v>31</v>
      </c>
      <c r="G107" s="49"/>
    </row>
    <row r="108" spans="1:7" x14ac:dyDescent="0.3">
      <c r="A108" s="24" t="s">
        <v>33</v>
      </c>
      <c r="B108" s="24" t="s">
        <v>144</v>
      </c>
      <c r="C108" s="24" t="s">
        <v>25</v>
      </c>
      <c r="D108" s="25">
        <v>45679</v>
      </c>
      <c r="E108" s="25">
        <v>45679</v>
      </c>
      <c r="F108" s="110" t="s">
        <v>225</v>
      </c>
      <c r="G108" s="49" t="s">
        <v>249</v>
      </c>
    </row>
    <row r="109" spans="1:7" x14ac:dyDescent="0.3">
      <c r="A109" s="24" t="s">
        <v>33</v>
      </c>
      <c r="B109" s="24" t="s">
        <v>145</v>
      </c>
      <c r="C109" s="24" t="s">
        <v>25</v>
      </c>
      <c r="D109" s="25">
        <v>45797</v>
      </c>
      <c r="E109" s="25">
        <v>45797</v>
      </c>
      <c r="F109" s="50" t="s">
        <v>225</v>
      </c>
      <c r="G109" s="49" t="s">
        <v>333</v>
      </c>
    </row>
    <row r="110" spans="1:7" x14ac:dyDescent="0.3">
      <c r="A110" s="24" t="s">
        <v>34</v>
      </c>
      <c r="B110" s="24" t="s">
        <v>6</v>
      </c>
      <c r="C110" s="24" t="s">
        <v>7</v>
      </c>
      <c r="D110" s="25">
        <v>45600</v>
      </c>
      <c r="E110" s="25">
        <v>45657</v>
      </c>
      <c r="F110" s="50" t="s">
        <v>8</v>
      </c>
      <c r="G110" s="49"/>
    </row>
    <row r="111" spans="1:7" x14ac:dyDescent="0.3">
      <c r="A111" s="24" t="s">
        <v>34</v>
      </c>
      <c r="B111" s="24" t="s">
        <v>11</v>
      </c>
      <c r="C111" s="24" t="s">
        <v>14</v>
      </c>
      <c r="D111" s="25">
        <v>45608</v>
      </c>
      <c r="E111" s="25">
        <v>45657</v>
      </c>
      <c r="F111" s="50" t="s">
        <v>75</v>
      </c>
      <c r="G111" s="49"/>
    </row>
    <row r="112" spans="1:7" x14ac:dyDescent="0.3">
      <c r="A112" s="45" t="s">
        <v>34</v>
      </c>
      <c r="B112" s="45" t="s">
        <v>11</v>
      </c>
      <c r="C112" s="45" t="s">
        <v>78</v>
      </c>
      <c r="D112" s="46">
        <v>45663</v>
      </c>
      <c r="E112" s="46">
        <v>45730</v>
      </c>
      <c r="F112" s="50" t="s">
        <v>13</v>
      </c>
      <c r="G112" s="51" t="s">
        <v>284</v>
      </c>
    </row>
    <row r="113" spans="1:7" x14ac:dyDescent="0.3">
      <c r="A113" s="45" t="s">
        <v>34</v>
      </c>
      <c r="B113" s="45" t="s">
        <v>15</v>
      </c>
      <c r="C113" s="45" t="s">
        <v>222</v>
      </c>
      <c r="D113" s="46">
        <v>45677</v>
      </c>
      <c r="E113" s="46">
        <v>45758</v>
      </c>
      <c r="F113" s="50" t="s">
        <v>20</v>
      </c>
      <c r="G113" s="51"/>
    </row>
    <row r="114" spans="1:7" x14ac:dyDescent="0.3">
      <c r="A114" s="24" t="s">
        <v>34</v>
      </c>
      <c r="B114" s="24" t="s">
        <v>19</v>
      </c>
      <c r="C114" s="24" t="s">
        <v>18</v>
      </c>
      <c r="D114" s="25">
        <v>45698</v>
      </c>
      <c r="E114" s="25">
        <v>45758</v>
      </c>
      <c r="F114" s="52" t="s">
        <v>98</v>
      </c>
      <c r="G114" s="49"/>
    </row>
    <row r="115" spans="1:7" x14ac:dyDescent="0.3">
      <c r="A115" s="24" t="s">
        <v>34</v>
      </c>
      <c r="B115" s="24" t="s">
        <v>80</v>
      </c>
      <c r="C115" s="24" t="s">
        <v>10</v>
      </c>
      <c r="D115" s="25">
        <v>45614</v>
      </c>
      <c r="E115" s="25">
        <v>45667</v>
      </c>
      <c r="F115" s="52" t="s">
        <v>101</v>
      </c>
      <c r="G115" s="49"/>
    </row>
    <row r="116" spans="1:7" x14ac:dyDescent="0.3">
      <c r="A116" s="24" t="s">
        <v>34</v>
      </c>
      <c r="B116" s="24" t="s">
        <v>21</v>
      </c>
      <c r="C116" s="24" t="s">
        <v>22</v>
      </c>
      <c r="D116" s="25">
        <v>45621</v>
      </c>
      <c r="E116" s="25">
        <v>45674</v>
      </c>
      <c r="F116" s="52" t="s">
        <v>28</v>
      </c>
      <c r="G116" s="49"/>
    </row>
    <row r="117" spans="1:7" x14ac:dyDescent="0.3">
      <c r="A117" s="24" t="s">
        <v>34</v>
      </c>
      <c r="B117" s="24" t="s">
        <v>21</v>
      </c>
      <c r="C117" s="24" t="s">
        <v>22</v>
      </c>
      <c r="D117" s="25">
        <v>45698</v>
      </c>
      <c r="E117" s="25">
        <v>45758</v>
      </c>
      <c r="F117" s="52" t="s">
        <v>28</v>
      </c>
      <c r="G117" s="49"/>
    </row>
    <row r="118" spans="1:7" x14ac:dyDescent="0.3">
      <c r="A118" s="24" t="s">
        <v>34</v>
      </c>
      <c r="B118" s="24" t="s">
        <v>145</v>
      </c>
      <c r="C118" s="24" t="s">
        <v>25</v>
      </c>
      <c r="D118" s="25">
        <v>45761</v>
      </c>
      <c r="E118" s="25">
        <v>45761</v>
      </c>
      <c r="F118" s="52" t="s">
        <v>225</v>
      </c>
      <c r="G118" s="49" t="s">
        <v>334</v>
      </c>
    </row>
    <row r="119" spans="1:7" x14ac:dyDescent="0.3">
      <c r="A119" s="24" t="s">
        <v>34</v>
      </c>
      <c r="B119" s="24" t="s">
        <v>152</v>
      </c>
      <c r="C119" s="24" t="s">
        <v>25</v>
      </c>
      <c r="D119" s="25">
        <v>45776</v>
      </c>
      <c r="E119" s="25">
        <v>45776</v>
      </c>
      <c r="F119" s="52" t="s">
        <v>225</v>
      </c>
      <c r="G119" s="49" t="s">
        <v>326</v>
      </c>
    </row>
    <row r="120" spans="1:7" x14ac:dyDescent="0.3">
      <c r="A120" s="24" t="s">
        <v>34</v>
      </c>
      <c r="B120" s="24" t="s">
        <v>152</v>
      </c>
      <c r="C120" s="24" t="s">
        <v>25</v>
      </c>
      <c r="D120" s="25">
        <v>45797</v>
      </c>
      <c r="E120" s="25">
        <v>45797</v>
      </c>
      <c r="F120" s="52" t="s">
        <v>225</v>
      </c>
      <c r="G120" s="49" t="s">
        <v>325</v>
      </c>
    </row>
    <row r="121" spans="1:7" x14ac:dyDescent="0.3">
      <c r="A121" s="24" t="s">
        <v>34</v>
      </c>
      <c r="B121" s="24" t="s">
        <v>145</v>
      </c>
      <c r="C121" s="24" t="s">
        <v>25</v>
      </c>
      <c r="D121" s="25">
        <v>45798</v>
      </c>
      <c r="E121" s="25">
        <v>45798</v>
      </c>
      <c r="F121" s="52" t="s">
        <v>225</v>
      </c>
      <c r="G121" s="49" t="s">
        <v>335</v>
      </c>
    </row>
    <row r="122" spans="1:7" x14ac:dyDescent="0.3">
      <c r="A122" s="24" t="s">
        <v>340</v>
      </c>
      <c r="B122" s="24" t="s">
        <v>21</v>
      </c>
      <c r="C122" s="24" t="s">
        <v>29</v>
      </c>
      <c r="D122" s="25">
        <v>45789</v>
      </c>
      <c r="E122" s="25">
        <v>45807</v>
      </c>
      <c r="F122" s="52" t="s">
        <v>111</v>
      </c>
      <c r="G122" s="49"/>
    </row>
    <row r="123" spans="1:7" x14ac:dyDescent="0.3">
      <c r="A123" s="24" t="s">
        <v>340</v>
      </c>
      <c r="B123" s="24" t="s">
        <v>26</v>
      </c>
      <c r="C123" s="24" t="s">
        <v>27</v>
      </c>
      <c r="D123" s="25">
        <v>45803</v>
      </c>
      <c r="E123" s="25">
        <v>45814</v>
      </c>
      <c r="F123" s="52" t="s">
        <v>31</v>
      </c>
      <c r="G123" s="49" t="s">
        <v>395</v>
      </c>
    </row>
    <row r="124" spans="1:7" x14ac:dyDescent="0.3">
      <c r="A124" s="24" t="s">
        <v>340</v>
      </c>
      <c r="B124" s="24" t="s">
        <v>144</v>
      </c>
      <c r="C124" s="24" t="s">
        <v>25</v>
      </c>
      <c r="D124" s="25">
        <v>45810</v>
      </c>
      <c r="E124" s="25">
        <v>45810</v>
      </c>
      <c r="F124" s="52" t="s">
        <v>225</v>
      </c>
      <c r="G124" s="49" t="s">
        <v>394</v>
      </c>
    </row>
    <row r="125" spans="1:7" x14ac:dyDescent="0.3">
      <c r="A125" s="24" t="s">
        <v>340</v>
      </c>
      <c r="B125" s="24" t="s">
        <v>152</v>
      </c>
      <c r="C125" s="24" t="s">
        <v>25</v>
      </c>
      <c r="D125" s="25">
        <v>45820</v>
      </c>
      <c r="E125" s="25">
        <v>45820</v>
      </c>
      <c r="F125" s="52" t="s">
        <v>225</v>
      </c>
      <c r="G125" s="49" t="s">
        <v>393</v>
      </c>
    </row>
    <row r="126" spans="1:7" x14ac:dyDescent="0.3">
      <c r="A126" s="24" t="s">
        <v>340</v>
      </c>
      <c r="B126" s="24" t="s">
        <v>152</v>
      </c>
      <c r="C126" s="24" t="s">
        <v>25</v>
      </c>
      <c r="D126" s="25">
        <v>45826</v>
      </c>
      <c r="E126" s="25">
        <v>45826</v>
      </c>
      <c r="F126" s="52" t="s">
        <v>225</v>
      </c>
      <c r="G126" s="49" t="s">
        <v>409</v>
      </c>
    </row>
    <row r="127" spans="1:7" x14ac:dyDescent="0.3">
      <c r="A127" s="24" t="s">
        <v>340</v>
      </c>
      <c r="B127" s="24" t="s">
        <v>145</v>
      </c>
      <c r="C127" s="24" t="s">
        <v>25</v>
      </c>
      <c r="D127" s="25">
        <v>45827</v>
      </c>
      <c r="E127" s="25">
        <v>45827</v>
      </c>
      <c r="F127" s="52" t="s">
        <v>225</v>
      </c>
      <c r="G127" s="49" t="s">
        <v>411</v>
      </c>
    </row>
    <row r="128" spans="1:7" x14ac:dyDescent="0.3">
      <c r="A128" s="24" t="s">
        <v>340</v>
      </c>
      <c r="B128" s="24" t="s">
        <v>152</v>
      </c>
      <c r="C128" s="24" t="s">
        <v>25</v>
      </c>
      <c r="D128" s="25">
        <v>45831</v>
      </c>
      <c r="E128" s="25">
        <v>45831</v>
      </c>
      <c r="F128" s="52" t="s">
        <v>225</v>
      </c>
      <c r="G128" s="49" t="s">
        <v>410</v>
      </c>
    </row>
    <row r="129" spans="1:7" x14ac:dyDescent="0.3">
      <c r="A129" s="24" t="s">
        <v>340</v>
      </c>
      <c r="B129" s="24" t="s">
        <v>152</v>
      </c>
      <c r="C129" s="24" t="s">
        <v>25</v>
      </c>
      <c r="D129" s="25">
        <v>45833</v>
      </c>
      <c r="E129" s="25">
        <v>45833</v>
      </c>
      <c r="F129" s="52" t="s">
        <v>225</v>
      </c>
      <c r="G129" s="49" t="s">
        <v>413</v>
      </c>
    </row>
    <row r="130" spans="1:7" x14ac:dyDescent="0.3">
      <c r="A130" s="24" t="s">
        <v>422</v>
      </c>
      <c r="B130" s="24" t="s">
        <v>80</v>
      </c>
      <c r="C130" s="24" t="s">
        <v>10</v>
      </c>
      <c r="D130" s="25">
        <v>45832</v>
      </c>
      <c r="E130" s="25">
        <v>45842</v>
      </c>
      <c r="F130" s="52" t="s">
        <v>101</v>
      </c>
      <c r="G130" s="49"/>
    </row>
    <row r="131" spans="1:7" x14ac:dyDescent="0.3">
      <c r="A131" s="24" t="s">
        <v>422</v>
      </c>
      <c r="B131" s="24" t="s">
        <v>21</v>
      </c>
      <c r="C131" s="24" t="s">
        <v>22</v>
      </c>
      <c r="D131" s="25">
        <v>45832</v>
      </c>
      <c r="E131" s="25">
        <v>45842</v>
      </c>
      <c r="F131" s="52" t="s">
        <v>28</v>
      </c>
      <c r="G131" s="49"/>
    </row>
    <row r="132" spans="1:7" x14ac:dyDescent="0.3">
      <c r="A132" s="24" t="s">
        <v>422</v>
      </c>
      <c r="B132" s="24" t="s">
        <v>145</v>
      </c>
      <c r="C132" s="24" t="s">
        <v>25</v>
      </c>
      <c r="D132" s="25">
        <v>45846</v>
      </c>
      <c r="E132" s="25">
        <v>45846</v>
      </c>
      <c r="F132" s="52" t="s">
        <v>225</v>
      </c>
      <c r="G132" s="49" t="s">
        <v>423</v>
      </c>
    </row>
    <row r="133" spans="1:7" x14ac:dyDescent="0.3">
      <c r="A133" s="24" t="s">
        <v>197</v>
      </c>
      <c r="B133" s="24" t="s">
        <v>6</v>
      </c>
      <c r="C133" s="24" t="s">
        <v>7</v>
      </c>
      <c r="D133" s="25">
        <v>45659</v>
      </c>
      <c r="E133" s="25">
        <v>45723</v>
      </c>
      <c r="F133" s="52" t="s">
        <v>8</v>
      </c>
      <c r="G133" s="49"/>
    </row>
    <row r="134" spans="1:7" x14ac:dyDescent="0.3">
      <c r="A134" s="24" t="s">
        <v>197</v>
      </c>
      <c r="B134" s="24" t="s">
        <v>11</v>
      </c>
      <c r="C134" s="24" t="s">
        <v>14</v>
      </c>
      <c r="D134" s="25">
        <v>45670</v>
      </c>
      <c r="E134" s="25">
        <v>45723</v>
      </c>
      <c r="F134" s="52" t="s">
        <v>75</v>
      </c>
      <c r="G134" s="49"/>
    </row>
    <row r="135" spans="1:7" x14ac:dyDescent="0.3">
      <c r="A135" s="24" t="s">
        <v>197</v>
      </c>
      <c r="B135" s="24" t="s">
        <v>80</v>
      </c>
      <c r="C135" s="24" t="s">
        <v>10</v>
      </c>
      <c r="D135" s="25">
        <v>45712</v>
      </c>
      <c r="E135" s="25">
        <v>45723</v>
      </c>
      <c r="F135" s="52" t="s">
        <v>101</v>
      </c>
      <c r="G135" s="49"/>
    </row>
    <row r="136" spans="1:7" x14ac:dyDescent="0.3">
      <c r="A136" s="24" t="s">
        <v>197</v>
      </c>
      <c r="B136" s="24" t="s">
        <v>21</v>
      </c>
      <c r="C136" s="24" t="s">
        <v>22</v>
      </c>
      <c r="D136" s="25">
        <v>45588</v>
      </c>
      <c r="E136" s="25">
        <v>45611</v>
      </c>
      <c r="F136" s="38" t="s">
        <v>28</v>
      </c>
      <c r="G136" s="49"/>
    </row>
    <row r="137" spans="1:7" x14ac:dyDescent="0.3">
      <c r="A137" s="24" t="s">
        <v>197</v>
      </c>
      <c r="B137" s="24" t="s">
        <v>21</v>
      </c>
      <c r="C137" s="24" t="s">
        <v>29</v>
      </c>
      <c r="D137" s="25">
        <v>45614</v>
      </c>
      <c r="E137" s="25">
        <v>45616</v>
      </c>
      <c r="F137" s="38" t="s">
        <v>111</v>
      </c>
      <c r="G137" s="49" t="s">
        <v>179</v>
      </c>
    </row>
    <row r="138" spans="1:7" x14ac:dyDescent="0.3">
      <c r="A138" s="24" t="s">
        <v>197</v>
      </c>
      <c r="B138" s="24" t="s">
        <v>21</v>
      </c>
      <c r="C138" s="24" t="s">
        <v>29</v>
      </c>
      <c r="D138" s="25">
        <v>45687</v>
      </c>
      <c r="E138" s="25">
        <v>45723</v>
      </c>
      <c r="F138" s="50" t="s">
        <v>111</v>
      </c>
      <c r="G138" s="49"/>
    </row>
    <row r="139" spans="1:7" x14ac:dyDescent="0.3">
      <c r="A139" s="24" t="s">
        <v>197</v>
      </c>
      <c r="B139" s="24" t="s">
        <v>26</v>
      </c>
      <c r="C139" s="24" t="s">
        <v>27</v>
      </c>
      <c r="D139" s="25">
        <v>45600</v>
      </c>
      <c r="E139" s="25">
        <v>45611</v>
      </c>
      <c r="F139" s="33" t="s">
        <v>31</v>
      </c>
      <c r="G139" s="49"/>
    </row>
    <row r="140" spans="1:7" x14ac:dyDescent="0.3">
      <c r="A140" s="24" t="s">
        <v>197</v>
      </c>
      <c r="B140" s="24" t="s">
        <v>145</v>
      </c>
      <c r="C140" s="24" t="s">
        <v>25</v>
      </c>
      <c r="D140" s="25">
        <v>45616</v>
      </c>
      <c r="E140" s="25">
        <v>45616</v>
      </c>
      <c r="F140" s="33" t="s">
        <v>225</v>
      </c>
      <c r="G140" s="49" t="s">
        <v>200</v>
      </c>
    </row>
    <row r="141" spans="1:7" x14ac:dyDescent="0.3">
      <c r="A141" s="24" t="s">
        <v>197</v>
      </c>
      <c r="B141" s="24" t="s">
        <v>152</v>
      </c>
      <c r="C141" s="24" t="s">
        <v>25</v>
      </c>
      <c r="D141" s="25">
        <v>45670</v>
      </c>
      <c r="E141" s="25">
        <v>45670</v>
      </c>
      <c r="F141" s="50" t="s">
        <v>225</v>
      </c>
      <c r="G141" s="49" t="s">
        <v>233</v>
      </c>
    </row>
    <row r="142" spans="1:7" x14ac:dyDescent="0.3">
      <c r="A142" s="24" t="s">
        <v>197</v>
      </c>
      <c r="B142" s="24" t="s">
        <v>144</v>
      </c>
      <c r="C142" s="24" t="s">
        <v>25</v>
      </c>
      <c r="D142" s="25">
        <v>45727</v>
      </c>
      <c r="E142" s="25">
        <v>45727</v>
      </c>
      <c r="F142" s="50" t="s">
        <v>225</v>
      </c>
      <c r="G142" s="49" t="s">
        <v>306</v>
      </c>
    </row>
    <row r="143" spans="1:7" x14ac:dyDescent="0.3">
      <c r="A143" s="24" t="s">
        <v>197</v>
      </c>
      <c r="B143" s="24" t="s">
        <v>152</v>
      </c>
      <c r="C143" s="24" t="s">
        <v>25</v>
      </c>
      <c r="D143" s="25">
        <v>45727</v>
      </c>
      <c r="E143" s="25">
        <v>45727</v>
      </c>
      <c r="F143" s="50" t="s">
        <v>225</v>
      </c>
      <c r="G143" s="49" t="s">
        <v>307</v>
      </c>
    </row>
    <row r="144" spans="1:7" x14ac:dyDescent="0.3">
      <c r="A144" s="24" t="s">
        <v>197</v>
      </c>
      <c r="B144" s="24" t="s">
        <v>152</v>
      </c>
      <c r="C144" s="24" t="s">
        <v>25</v>
      </c>
      <c r="D144" s="25">
        <v>45748</v>
      </c>
      <c r="E144" s="25">
        <v>45748</v>
      </c>
      <c r="F144" s="50" t="s">
        <v>225</v>
      </c>
      <c r="G144" s="49" t="s">
        <v>322</v>
      </c>
    </row>
    <row r="145" spans="1:7" x14ac:dyDescent="0.3">
      <c r="A145" s="24" t="s">
        <v>197</v>
      </c>
      <c r="B145" s="24" t="s">
        <v>145</v>
      </c>
      <c r="C145" s="24" t="s">
        <v>25</v>
      </c>
      <c r="D145" s="25">
        <v>45749</v>
      </c>
      <c r="E145" s="25">
        <v>45749</v>
      </c>
      <c r="F145" s="50" t="s">
        <v>225</v>
      </c>
      <c r="G145" s="49" t="s">
        <v>279</v>
      </c>
    </row>
    <row r="146" spans="1:7" x14ac:dyDescent="0.3">
      <c r="A146" s="2" t="s">
        <v>563</v>
      </c>
      <c r="B146" s="2" t="s">
        <v>6</v>
      </c>
      <c r="C146" s="2" t="s">
        <v>7</v>
      </c>
      <c r="D146" s="4">
        <v>45964</v>
      </c>
      <c r="E146" s="4">
        <v>45982</v>
      </c>
      <c r="F146" s="33" t="s">
        <v>8</v>
      </c>
      <c r="G146" s="36"/>
    </row>
    <row r="147" spans="1:7" x14ac:dyDescent="0.3">
      <c r="A147" s="2" t="s">
        <v>563</v>
      </c>
      <c r="B147" s="2" t="s">
        <v>11</v>
      </c>
      <c r="C147" s="2" t="s">
        <v>14</v>
      </c>
      <c r="D147" s="4">
        <v>45971</v>
      </c>
      <c r="E147" s="4">
        <v>45982</v>
      </c>
      <c r="F147" s="33" t="s">
        <v>75</v>
      </c>
      <c r="G147" s="36"/>
    </row>
    <row r="148" spans="1:7" x14ac:dyDescent="0.3">
      <c r="A148" s="2" t="s">
        <v>563</v>
      </c>
      <c r="B148" s="2" t="s">
        <v>80</v>
      </c>
      <c r="C148" s="2" t="s">
        <v>10</v>
      </c>
      <c r="D148" s="4">
        <v>45978</v>
      </c>
      <c r="E148" s="4">
        <v>45989</v>
      </c>
      <c r="F148" s="33" t="s">
        <v>101</v>
      </c>
      <c r="G148" s="36" t="s">
        <v>528</v>
      </c>
    </row>
    <row r="149" spans="1:7" x14ac:dyDescent="0.3">
      <c r="A149" s="108" t="s">
        <v>563</v>
      </c>
      <c r="B149" s="108" t="s">
        <v>21</v>
      </c>
      <c r="C149" s="108" t="s">
        <v>22</v>
      </c>
      <c r="D149" s="109">
        <v>45978</v>
      </c>
      <c r="E149" s="109">
        <v>45996</v>
      </c>
      <c r="F149" s="1" t="s">
        <v>28</v>
      </c>
      <c r="G149" s="111"/>
    </row>
    <row r="150" spans="1:7" x14ac:dyDescent="0.3">
      <c r="A150" s="2" t="s">
        <v>563</v>
      </c>
      <c r="B150" s="2" t="s">
        <v>26</v>
      </c>
      <c r="C150" s="2" t="s">
        <v>27</v>
      </c>
      <c r="D150" s="4">
        <v>45994</v>
      </c>
      <c r="E150" s="4">
        <v>46000</v>
      </c>
      <c r="F150" s="38" t="s">
        <v>31</v>
      </c>
      <c r="G150" s="36" t="s">
        <v>527</v>
      </c>
    </row>
    <row r="151" spans="1:7" x14ac:dyDescent="0.3">
      <c r="A151" s="108" t="s">
        <v>563</v>
      </c>
      <c r="B151" s="108" t="s">
        <v>145</v>
      </c>
      <c r="C151" s="108" t="s">
        <v>25</v>
      </c>
      <c r="D151" s="109">
        <v>46000</v>
      </c>
      <c r="E151" s="109">
        <v>46000</v>
      </c>
      <c r="F151" s="33" t="s">
        <v>225</v>
      </c>
      <c r="G151" s="111" t="s">
        <v>566</v>
      </c>
    </row>
    <row r="152" spans="1:7" x14ac:dyDescent="0.3">
      <c r="A152" s="24" t="s">
        <v>337</v>
      </c>
      <c r="B152" s="24" t="s">
        <v>6</v>
      </c>
      <c r="C152" s="24" t="s">
        <v>7</v>
      </c>
      <c r="D152" s="25">
        <v>45810</v>
      </c>
      <c r="E152" s="25">
        <v>45926</v>
      </c>
      <c r="F152" s="52" t="s">
        <v>8</v>
      </c>
      <c r="G152" s="49"/>
    </row>
    <row r="153" spans="1:7" x14ac:dyDescent="0.3">
      <c r="A153" s="24" t="s">
        <v>337</v>
      </c>
      <c r="B153" s="24" t="s">
        <v>11</v>
      </c>
      <c r="C153" s="24" t="s">
        <v>78</v>
      </c>
      <c r="D153" s="25">
        <v>45824</v>
      </c>
      <c r="E153" s="25">
        <v>45926</v>
      </c>
      <c r="F153" s="52" t="s">
        <v>13</v>
      </c>
      <c r="G153" s="49"/>
    </row>
    <row r="154" spans="1:7" x14ac:dyDescent="0.3">
      <c r="A154" s="24" t="s">
        <v>337</v>
      </c>
      <c r="B154" s="24" t="s">
        <v>15</v>
      </c>
      <c r="C154" s="24" t="s">
        <v>16</v>
      </c>
      <c r="D154" s="25">
        <v>45831</v>
      </c>
      <c r="E154" s="25">
        <v>45933</v>
      </c>
      <c r="F154" s="52" t="s">
        <v>17</v>
      </c>
      <c r="G154" s="49"/>
    </row>
    <row r="155" spans="1:7" x14ac:dyDescent="0.3">
      <c r="A155" s="24" t="s">
        <v>337</v>
      </c>
      <c r="B155" s="24" t="s">
        <v>19</v>
      </c>
      <c r="C155" s="24" t="s">
        <v>18</v>
      </c>
      <c r="D155" s="25">
        <v>45845</v>
      </c>
      <c r="E155" s="25">
        <v>45933</v>
      </c>
      <c r="F155" s="50" t="s">
        <v>98</v>
      </c>
      <c r="G155" s="49"/>
    </row>
    <row r="156" spans="1:7" x14ac:dyDescent="0.3">
      <c r="A156" s="24" t="s">
        <v>337</v>
      </c>
      <c r="B156" s="24" t="s">
        <v>21</v>
      </c>
      <c r="C156" s="24" t="s">
        <v>22</v>
      </c>
      <c r="D156" s="25">
        <v>45880</v>
      </c>
      <c r="E156" s="25">
        <v>45940</v>
      </c>
      <c r="F156" s="50" t="s">
        <v>28</v>
      </c>
      <c r="G156" s="49"/>
    </row>
    <row r="157" spans="1:7" x14ac:dyDescent="0.3">
      <c r="A157" s="45" t="s">
        <v>337</v>
      </c>
      <c r="B157" s="45" t="s">
        <v>145</v>
      </c>
      <c r="C157" s="45" t="s">
        <v>25</v>
      </c>
      <c r="D157" s="46">
        <v>45943</v>
      </c>
      <c r="E157" s="46">
        <v>45943</v>
      </c>
      <c r="F157" s="50" t="s">
        <v>225</v>
      </c>
      <c r="G157" s="51" t="s">
        <v>402</v>
      </c>
    </row>
    <row r="158" spans="1:7" x14ac:dyDescent="0.3">
      <c r="A158" s="24" t="s">
        <v>588</v>
      </c>
      <c r="B158" s="24" t="s">
        <v>6</v>
      </c>
      <c r="C158" s="24" t="s">
        <v>7</v>
      </c>
      <c r="D158" s="25">
        <v>45943</v>
      </c>
      <c r="E158" s="25">
        <v>45964</v>
      </c>
      <c r="F158" s="52" t="s">
        <v>8</v>
      </c>
      <c r="G158" s="49"/>
    </row>
    <row r="159" spans="1:7" x14ac:dyDescent="0.3">
      <c r="A159" s="24" t="s">
        <v>588</v>
      </c>
      <c r="B159" s="24" t="s">
        <v>11</v>
      </c>
      <c r="C159" s="24" t="s">
        <v>14</v>
      </c>
      <c r="D159" s="25">
        <v>45950</v>
      </c>
      <c r="E159" s="25">
        <v>45964</v>
      </c>
      <c r="F159" s="52" t="s">
        <v>75</v>
      </c>
      <c r="G159" s="49"/>
    </row>
    <row r="160" spans="1:7" x14ac:dyDescent="0.3">
      <c r="A160" s="24" t="s">
        <v>588</v>
      </c>
      <c r="B160" s="24" t="s">
        <v>80</v>
      </c>
      <c r="C160" s="24" t="s">
        <v>10</v>
      </c>
      <c r="D160" s="25">
        <v>45965</v>
      </c>
      <c r="E160" s="25">
        <v>45975</v>
      </c>
      <c r="F160" s="52" t="s">
        <v>101</v>
      </c>
      <c r="G160" s="49" t="s">
        <v>370</v>
      </c>
    </row>
    <row r="161" spans="1:7" x14ac:dyDescent="0.3">
      <c r="A161" s="24" t="s">
        <v>588</v>
      </c>
      <c r="B161" s="24" t="s">
        <v>21</v>
      </c>
      <c r="C161" s="24" t="s">
        <v>22</v>
      </c>
      <c r="D161" s="25">
        <v>45965</v>
      </c>
      <c r="E161" s="25">
        <v>45975</v>
      </c>
      <c r="F161" s="52" t="s">
        <v>28</v>
      </c>
      <c r="G161" s="49" t="s">
        <v>370</v>
      </c>
    </row>
    <row r="162" spans="1:7" x14ac:dyDescent="0.3">
      <c r="A162" s="24" t="s">
        <v>588</v>
      </c>
      <c r="B162" s="24" t="s">
        <v>26</v>
      </c>
      <c r="C162" s="24" t="s">
        <v>27</v>
      </c>
      <c r="D162" s="25">
        <v>45973</v>
      </c>
      <c r="E162" s="25">
        <v>45979</v>
      </c>
      <c r="F162" s="50" t="s">
        <v>31</v>
      </c>
      <c r="G162" s="49"/>
    </row>
    <row r="163" spans="1:7" x14ac:dyDescent="0.3">
      <c r="A163" s="24" t="s">
        <v>588</v>
      </c>
      <c r="B163" s="24" t="s">
        <v>145</v>
      </c>
      <c r="C163" s="24" t="s">
        <v>25</v>
      </c>
      <c r="D163" s="25">
        <v>45979</v>
      </c>
      <c r="E163" s="25">
        <v>45979</v>
      </c>
      <c r="F163" s="48" t="s">
        <v>225</v>
      </c>
      <c r="G163" s="49" t="s">
        <v>591</v>
      </c>
    </row>
    <row r="164" spans="1:7" x14ac:dyDescent="0.3">
      <c r="A164" s="2" t="s">
        <v>560</v>
      </c>
      <c r="B164" s="2" t="s">
        <v>6</v>
      </c>
      <c r="C164" s="2" t="s">
        <v>7</v>
      </c>
      <c r="D164" s="4">
        <v>45943</v>
      </c>
      <c r="E164" s="4">
        <v>45982</v>
      </c>
      <c r="F164" s="138" t="s">
        <v>8</v>
      </c>
      <c r="G164" s="36"/>
    </row>
    <row r="165" spans="1:7" x14ac:dyDescent="0.3">
      <c r="A165" s="2" t="s">
        <v>560</v>
      </c>
      <c r="B165" s="2" t="s">
        <v>11</v>
      </c>
      <c r="C165" s="2" t="s">
        <v>14</v>
      </c>
      <c r="D165" s="4">
        <v>45950</v>
      </c>
      <c r="E165" s="4">
        <v>45989</v>
      </c>
      <c r="F165" s="38" t="s">
        <v>75</v>
      </c>
      <c r="G165" s="36"/>
    </row>
    <row r="166" spans="1:7" x14ac:dyDescent="0.3">
      <c r="A166" s="2" t="s">
        <v>560</v>
      </c>
      <c r="B166" s="2" t="s">
        <v>80</v>
      </c>
      <c r="C166" s="2" t="s">
        <v>10</v>
      </c>
      <c r="D166" s="4">
        <v>45992</v>
      </c>
      <c r="E166" s="4">
        <v>46031</v>
      </c>
      <c r="F166" s="38" t="s">
        <v>101</v>
      </c>
      <c r="G166" s="36"/>
    </row>
    <row r="167" spans="1:7" x14ac:dyDescent="0.3">
      <c r="A167" s="2" t="s">
        <v>560</v>
      </c>
      <c r="B167" s="2" t="s">
        <v>21</v>
      </c>
      <c r="C167" s="2" t="s">
        <v>22</v>
      </c>
      <c r="D167" s="4">
        <v>45999</v>
      </c>
      <c r="E167" s="4">
        <v>46038</v>
      </c>
      <c r="F167" s="38" t="s">
        <v>28</v>
      </c>
      <c r="G167" s="36"/>
    </row>
    <row r="168" spans="1:7" x14ac:dyDescent="0.3">
      <c r="A168" s="2" t="s">
        <v>560</v>
      </c>
      <c r="B168" s="2" t="s">
        <v>26</v>
      </c>
      <c r="C168" s="2" t="s">
        <v>27</v>
      </c>
      <c r="D168" s="4">
        <v>46034</v>
      </c>
      <c r="E168" s="4">
        <v>46042</v>
      </c>
      <c r="F168" s="38" t="s">
        <v>31</v>
      </c>
      <c r="G168" s="36" t="s">
        <v>562</v>
      </c>
    </row>
    <row r="169" spans="1:7" x14ac:dyDescent="0.3">
      <c r="A169" s="2" t="s">
        <v>560</v>
      </c>
      <c r="B169" s="2" t="s">
        <v>145</v>
      </c>
      <c r="C169" s="2" t="s">
        <v>25</v>
      </c>
      <c r="D169" s="4">
        <v>46042</v>
      </c>
      <c r="E169" s="4">
        <v>46042</v>
      </c>
      <c r="F169" s="38" t="s">
        <v>225</v>
      </c>
      <c r="G169" s="36" t="s">
        <v>561</v>
      </c>
    </row>
    <row r="170" spans="1:7" x14ac:dyDescent="0.3">
      <c r="A170" s="24" t="s">
        <v>187</v>
      </c>
      <c r="B170" s="24" t="s">
        <v>15</v>
      </c>
      <c r="C170" s="24" t="s">
        <v>16</v>
      </c>
      <c r="D170" s="25">
        <v>45579</v>
      </c>
      <c r="E170" s="25">
        <v>45611</v>
      </c>
      <c r="F170" s="38" t="s">
        <v>17</v>
      </c>
      <c r="G170" s="49"/>
    </row>
    <row r="171" spans="1:7" x14ac:dyDescent="0.3">
      <c r="A171" s="24" t="s">
        <v>187</v>
      </c>
      <c r="B171" s="24" t="s">
        <v>21</v>
      </c>
      <c r="C171" s="24" t="s">
        <v>22</v>
      </c>
      <c r="D171" s="25">
        <v>45588</v>
      </c>
      <c r="E171" s="25">
        <v>45611</v>
      </c>
      <c r="F171" s="38" t="s">
        <v>28</v>
      </c>
      <c r="G171" s="49"/>
    </row>
    <row r="172" spans="1:7" x14ac:dyDescent="0.3">
      <c r="A172" s="24" t="s">
        <v>187</v>
      </c>
      <c r="B172" s="24" t="s">
        <v>21</v>
      </c>
      <c r="C172" s="24" t="s">
        <v>29</v>
      </c>
      <c r="D172" s="25">
        <v>45614</v>
      </c>
      <c r="E172" s="25">
        <v>45616</v>
      </c>
      <c r="F172" s="38" t="s">
        <v>111</v>
      </c>
      <c r="G172" s="49" t="s">
        <v>179</v>
      </c>
    </row>
    <row r="173" spans="1:7" x14ac:dyDescent="0.3">
      <c r="A173" s="24" t="s">
        <v>187</v>
      </c>
      <c r="B173" s="24" t="s">
        <v>21</v>
      </c>
      <c r="C173" s="24" t="s">
        <v>29</v>
      </c>
      <c r="D173" s="25">
        <v>45796</v>
      </c>
      <c r="E173" s="25">
        <v>45821</v>
      </c>
      <c r="F173" s="52" t="s">
        <v>111</v>
      </c>
      <c r="G173" s="49" t="s">
        <v>372</v>
      </c>
    </row>
    <row r="174" spans="1:7" x14ac:dyDescent="0.3">
      <c r="A174" s="24" t="s">
        <v>187</v>
      </c>
      <c r="B174" s="24" t="s">
        <v>145</v>
      </c>
      <c r="C174" s="24" t="s">
        <v>25</v>
      </c>
      <c r="D174" s="25">
        <v>45616</v>
      </c>
      <c r="E174" s="25">
        <v>45616</v>
      </c>
      <c r="F174" s="38" t="s">
        <v>225</v>
      </c>
      <c r="G174" s="49" t="s">
        <v>200</v>
      </c>
    </row>
    <row r="175" spans="1:7" x14ac:dyDescent="0.3">
      <c r="A175" s="24" t="s">
        <v>187</v>
      </c>
      <c r="B175" s="24" t="s">
        <v>144</v>
      </c>
      <c r="C175" s="24" t="s">
        <v>25</v>
      </c>
      <c r="D175" s="25">
        <v>45679</v>
      </c>
      <c r="E175" s="25">
        <v>45679</v>
      </c>
      <c r="F175" s="52" t="s">
        <v>225</v>
      </c>
      <c r="G175" s="49" t="s">
        <v>282</v>
      </c>
    </row>
    <row r="176" spans="1:7" x14ac:dyDescent="0.3">
      <c r="A176" s="24" t="s">
        <v>187</v>
      </c>
      <c r="B176" s="24" t="s">
        <v>152</v>
      </c>
      <c r="C176" s="24" t="s">
        <v>25</v>
      </c>
      <c r="D176" s="25">
        <v>45761</v>
      </c>
      <c r="E176" s="25">
        <v>45761</v>
      </c>
      <c r="F176" s="52" t="s">
        <v>225</v>
      </c>
      <c r="G176" s="49" t="s">
        <v>301</v>
      </c>
    </row>
    <row r="177" spans="1:7" x14ac:dyDescent="0.3">
      <c r="A177" s="2" t="s">
        <v>484</v>
      </c>
      <c r="B177" s="2" t="s">
        <v>11</v>
      </c>
      <c r="C177" s="2" t="s">
        <v>14</v>
      </c>
      <c r="D177" s="4">
        <v>45943</v>
      </c>
      <c r="E177" s="4">
        <v>45975</v>
      </c>
      <c r="F177" s="38" t="s">
        <v>75</v>
      </c>
      <c r="G177" s="36"/>
    </row>
    <row r="178" spans="1:7" x14ac:dyDescent="0.3">
      <c r="A178" s="2" t="s">
        <v>484</v>
      </c>
      <c r="B178" s="2" t="s">
        <v>80</v>
      </c>
      <c r="C178" s="2" t="s">
        <v>10</v>
      </c>
      <c r="D178" s="4">
        <v>45978</v>
      </c>
      <c r="E178" s="4">
        <v>45989</v>
      </c>
      <c r="F178" s="38" t="s">
        <v>101</v>
      </c>
      <c r="G178" s="36"/>
    </row>
    <row r="179" spans="1:7" x14ac:dyDescent="0.3">
      <c r="A179" s="2" t="s">
        <v>484</v>
      </c>
      <c r="B179" s="2" t="s">
        <v>21</v>
      </c>
      <c r="C179" s="2" t="s">
        <v>22</v>
      </c>
      <c r="D179" s="4">
        <v>45978</v>
      </c>
      <c r="E179" s="4">
        <v>45996</v>
      </c>
      <c r="F179" s="38" t="s">
        <v>28</v>
      </c>
      <c r="G179" s="36"/>
    </row>
    <row r="180" spans="1:7" x14ac:dyDescent="0.3">
      <c r="A180" s="2" t="s">
        <v>484</v>
      </c>
      <c r="B180" s="2" t="s">
        <v>21</v>
      </c>
      <c r="C180" s="2" t="s">
        <v>29</v>
      </c>
      <c r="D180" s="4">
        <v>45992</v>
      </c>
      <c r="E180" s="4">
        <v>46024</v>
      </c>
      <c r="F180" s="38" t="s">
        <v>111</v>
      </c>
      <c r="G180" s="36" t="s">
        <v>577</v>
      </c>
    </row>
    <row r="181" spans="1:7" x14ac:dyDescent="0.3">
      <c r="A181" s="2" t="s">
        <v>484</v>
      </c>
      <c r="B181" s="2" t="s">
        <v>26</v>
      </c>
      <c r="C181" s="2" t="s">
        <v>27</v>
      </c>
      <c r="D181" s="4">
        <v>45994</v>
      </c>
      <c r="E181" s="4">
        <v>46000</v>
      </c>
      <c r="F181" s="33" t="s">
        <v>31</v>
      </c>
      <c r="G181" s="36" t="s">
        <v>527</v>
      </c>
    </row>
    <row r="182" spans="1:7" x14ac:dyDescent="0.3">
      <c r="A182" s="2" t="s">
        <v>484</v>
      </c>
      <c r="B182" s="2" t="s">
        <v>145</v>
      </c>
      <c r="C182" s="2" t="s">
        <v>25</v>
      </c>
      <c r="D182" s="4">
        <v>46000</v>
      </c>
      <c r="E182" s="4">
        <v>46000</v>
      </c>
      <c r="F182" s="33" t="s">
        <v>225</v>
      </c>
      <c r="G182" s="36" t="s">
        <v>617</v>
      </c>
    </row>
    <row r="183" spans="1:7" x14ac:dyDescent="0.3">
      <c r="A183" s="24" t="s">
        <v>250</v>
      </c>
      <c r="B183" s="24" t="s">
        <v>6</v>
      </c>
      <c r="C183" s="24" t="s">
        <v>7</v>
      </c>
      <c r="D183" s="25">
        <v>45659</v>
      </c>
      <c r="E183" s="25">
        <v>45730</v>
      </c>
      <c r="F183" s="50" t="s">
        <v>8</v>
      </c>
      <c r="G183" s="49"/>
    </row>
    <row r="184" spans="1:7" x14ac:dyDescent="0.3">
      <c r="A184" s="24" t="s">
        <v>250</v>
      </c>
      <c r="B184" s="24" t="s">
        <v>11</v>
      </c>
      <c r="C184" s="24" t="s">
        <v>78</v>
      </c>
      <c r="D184" s="25">
        <v>45670</v>
      </c>
      <c r="E184" s="25">
        <v>45730</v>
      </c>
      <c r="F184" s="52" t="s">
        <v>13</v>
      </c>
      <c r="G184" s="49"/>
    </row>
    <row r="185" spans="1:7" x14ac:dyDescent="0.3">
      <c r="A185" s="24" t="s">
        <v>250</v>
      </c>
      <c r="B185" s="24" t="s">
        <v>15</v>
      </c>
      <c r="C185" s="24" t="s">
        <v>222</v>
      </c>
      <c r="D185" s="25">
        <v>45691</v>
      </c>
      <c r="E185" s="25">
        <v>45730</v>
      </c>
      <c r="F185" s="48" t="s">
        <v>20</v>
      </c>
      <c r="G185" s="49"/>
    </row>
    <row r="186" spans="1:7" x14ac:dyDescent="0.3">
      <c r="A186" s="24" t="s">
        <v>250</v>
      </c>
      <c r="B186" s="24" t="s">
        <v>19</v>
      </c>
      <c r="C186" s="24" t="s">
        <v>18</v>
      </c>
      <c r="D186" s="25">
        <v>45698</v>
      </c>
      <c r="E186" s="25">
        <v>45730</v>
      </c>
      <c r="F186" s="52" t="s">
        <v>98</v>
      </c>
      <c r="G186" s="49"/>
    </row>
    <row r="187" spans="1:7" x14ac:dyDescent="0.3">
      <c r="A187" s="24" t="s">
        <v>250</v>
      </c>
      <c r="B187" s="24" t="s">
        <v>21</v>
      </c>
      <c r="C187" s="24" t="s">
        <v>22</v>
      </c>
      <c r="D187" s="25">
        <v>45698</v>
      </c>
      <c r="E187" s="25">
        <v>45751</v>
      </c>
      <c r="F187" s="52" t="s">
        <v>28</v>
      </c>
      <c r="G187" s="49"/>
    </row>
    <row r="188" spans="1:7" x14ac:dyDescent="0.3">
      <c r="A188" s="24" t="s">
        <v>250</v>
      </c>
      <c r="B188" s="24" t="s">
        <v>145</v>
      </c>
      <c r="C188" s="24" t="s">
        <v>25</v>
      </c>
      <c r="D188" s="25">
        <v>45761</v>
      </c>
      <c r="E188" s="25">
        <v>45761</v>
      </c>
      <c r="F188" s="52" t="s">
        <v>225</v>
      </c>
      <c r="G188" s="49" t="s">
        <v>294</v>
      </c>
    </row>
    <row r="189" spans="1:7" x14ac:dyDescent="0.3">
      <c r="A189" s="24" t="s">
        <v>189</v>
      </c>
      <c r="B189" s="24" t="s">
        <v>15</v>
      </c>
      <c r="C189" s="24" t="s">
        <v>16</v>
      </c>
      <c r="D189" s="25">
        <v>45579</v>
      </c>
      <c r="E189" s="25">
        <v>45611</v>
      </c>
      <c r="F189" s="38" t="s">
        <v>17</v>
      </c>
      <c r="G189" s="49"/>
    </row>
    <row r="190" spans="1:7" x14ac:dyDescent="0.3">
      <c r="A190" s="24" t="s">
        <v>189</v>
      </c>
      <c r="B190" s="24" t="s">
        <v>21</v>
      </c>
      <c r="C190" s="24" t="s">
        <v>22</v>
      </c>
      <c r="D190" s="25">
        <v>45588</v>
      </c>
      <c r="E190" s="25">
        <v>45611</v>
      </c>
      <c r="F190" s="38" t="s">
        <v>28</v>
      </c>
      <c r="G190" s="49"/>
    </row>
    <row r="191" spans="1:7" x14ac:dyDescent="0.3">
      <c r="A191" s="24" t="s">
        <v>454</v>
      </c>
      <c r="B191" s="24" t="s">
        <v>6</v>
      </c>
      <c r="C191" s="24" t="s">
        <v>7</v>
      </c>
      <c r="D191" s="25">
        <v>45887</v>
      </c>
      <c r="E191" s="25">
        <v>45910</v>
      </c>
      <c r="F191" s="50" t="s">
        <v>8</v>
      </c>
      <c r="G191" s="49"/>
    </row>
    <row r="192" spans="1:7" x14ac:dyDescent="0.3">
      <c r="A192" s="24" t="s">
        <v>454</v>
      </c>
      <c r="B192" s="24" t="s">
        <v>11</v>
      </c>
      <c r="C192" s="24" t="s">
        <v>14</v>
      </c>
      <c r="D192" s="25">
        <v>45887</v>
      </c>
      <c r="E192" s="25">
        <v>45910</v>
      </c>
      <c r="F192" s="50" t="s">
        <v>75</v>
      </c>
      <c r="G192" s="49"/>
    </row>
    <row r="193" spans="1:7" x14ac:dyDescent="0.3">
      <c r="A193" s="45" t="s">
        <v>454</v>
      </c>
      <c r="B193" s="45" t="s">
        <v>26</v>
      </c>
      <c r="C193" s="45" t="s">
        <v>27</v>
      </c>
      <c r="D193" s="46">
        <v>45911</v>
      </c>
      <c r="E193" s="46">
        <v>45916</v>
      </c>
      <c r="F193" s="50" t="s">
        <v>31</v>
      </c>
      <c r="G193" s="51" t="s">
        <v>456</v>
      </c>
    </row>
    <row r="194" spans="1:7" x14ac:dyDescent="0.3">
      <c r="A194" s="24" t="s">
        <v>454</v>
      </c>
      <c r="B194" s="24" t="s">
        <v>145</v>
      </c>
      <c r="C194" s="24" t="s">
        <v>25</v>
      </c>
      <c r="D194" s="25">
        <v>45916</v>
      </c>
      <c r="E194" s="25">
        <v>45916</v>
      </c>
      <c r="F194" s="52" t="s">
        <v>225</v>
      </c>
      <c r="G194" s="49" t="s">
        <v>482</v>
      </c>
    </row>
    <row r="195" spans="1:7" x14ac:dyDescent="0.3">
      <c r="A195" s="2" t="s">
        <v>612</v>
      </c>
      <c r="B195" s="2" t="s">
        <v>11</v>
      </c>
      <c r="C195" s="2" t="s">
        <v>14</v>
      </c>
      <c r="D195" s="4">
        <v>45978</v>
      </c>
      <c r="E195" s="4">
        <v>45982</v>
      </c>
      <c r="F195" s="38" t="s">
        <v>75</v>
      </c>
      <c r="G195" s="36"/>
    </row>
    <row r="196" spans="1:7" x14ac:dyDescent="0.3">
      <c r="A196" s="108" t="s">
        <v>612</v>
      </c>
      <c r="B196" s="108" t="s">
        <v>80</v>
      </c>
      <c r="C196" s="108" t="s">
        <v>10</v>
      </c>
      <c r="D196" s="109">
        <v>45985</v>
      </c>
      <c r="E196" s="109">
        <v>45996</v>
      </c>
      <c r="F196" s="33" t="s">
        <v>101</v>
      </c>
      <c r="G196" s="111"/>
    </row>
    <row r="197" spans="1:7" x14ac:dyDescent="0.3">
      <c r="A197" s="2" t="s">
        <v>612</v>
      </c>
      <c r="B197" s="2" t="s">
        <v>21</v>
      </c>
      <c r="C197" s="2" t="s">
        <v>22</v>
      </c>
      <c r="D197" s="4">
        <v>45992</v>
      </c>
      <c r="E197" s="4">
        <v>45996</v>
      </c>
      <c r="F197" s="38" t="s">
        <v>28</v>
      </c>
      <c r="G197" s="36" t="s">
        <v>614</v>
      </c>
    </row>
    <row r="198" spans="1:7" x14ac:dyDescent="0.3">
      <c r="A198" s="2" t="s">
        <v>612</v>
      </c>
      <c r="B198" s="2" t="s">
        <v>26</v>
      </c>
      <c r="C198" s="2" t="s">
        <v>27</v>
      </c>
      <c r="D198" s="4">
        <v>45994</v>
      </c>
      <c r="E198" s="4">
        <v>46000</v>
      </c>
      <c r="F198" s="38" t="s">
        <v>31</v>
      </c>
      <c r="G198" s="36"/>
    </row>
    <row r="199" spans="1:7" x14ac:dyDescent="0.3">
      <c r="A199" s="2" t="s">
        <v>612</v>
      </c>
      <c r="B199" s="2" t="s">
        <v>145</v>
      </c>
      <c r="C199" s="2" t="s">
        <v>25</v>
      </c>
      <c r="D199" s="4">
        <v>46000</v>
      </c>
      <c r="E199" s="4">
        <v>46000</v>
      </c>
      <c r="F199" s="38" t="s">
        <v>225</v>
      </c>
      <c r="G199" s="36" t="s">
        <v>615</v>
      </c>
    </row>
    <row r="200" spans="1:7" x14ac:dyDescent="0.3">
      <c r="A200" s="24" t="s">
        <v>185</v>
      </c>
      <c r="B200" s="24" t="s">
        <v>80</v>
      </c>
      <c r="C200" s="24" t="s">
        <v>16</v>
      </c>
      <c r="D200" s="25">
        <v>45579</v>
      </c>
      <c r="E200" s="25">
        <v>45596</v>
      </c>
      <c r="F200" s="52" t="s">
        <v>17</v>
      </c>
      <c r="G200" s="49" t="s">
        <v>199</v>
      </c>
    </row>
    <row r="201" spans="1:7" x14ac:dyDescent="0.3">
      <c r="A201" s="24" t="s">
        <v>185</v>
      </c>
      <c r="B201" s="24" t="s">
        <v>21</v>
      </c>
      <c r="C201" s="24" t="s">
        <v>22</v>
      </c>
      <c r="D201" s="25">
        <v>45588</v>
      </c>
      <c r="E201" s="25">
        <v>45674</v>
      </c>
      <c r="F201" s="52" t="s">
        <v>28</v>
      </c>
      <c r="G201" s="49"/>
    </row>
    <row r="202" spans="1:7" x14ac:dyDescent="0.3">
      <c r="A202" s="24" t="s">
        <v>185</v>
      </c>
      <c r="B202" s="24" t="s">
        <v>21</v>
      </c>
      <c r="C202" s="24" t="s">
        <v>22</v>
      </c>
      <c r="D202" s="25">
        <v>45754</v>
      </c>
      <c r="E202" s="25">
        <v>45772</v>
      </c>
      <c r="F202" s="52" t="s">
        <v>28</v>
      </c>
      <c r="G202" s="49" t="s">
        <v>342</v>
      </c>
    </row>
    <row r="203" spans="1:7" x14ac:dyDescent="0.3">
      <c r="A203" s="24" t="s">
        <v>185</v>
      </c>
      <c r="B203" s="24" t="s">
        <v>21</v>
      </c>
      <c r="C203" s="24" t="s">
        <v>29</v>
      </c>
      <c r="D203" s="25">
        <v>45673</v>
      </c>
      <c r="E203" s="25">
        <v>45679</v>
      </c>
      <c r="F203" s="52" t="s">
        <v>111</v>
      </c>
      <c r="G203" s="49" t="s">
        <v>280</v>
      </c>
    </row>
    <row r="204" spans="1:7" x14ac:dyDescent="0.3">
      <c r="A204" s="24" t="s">
        <v>185</v>
      </c>
      <c r="B204" s="24" t="s">
        <v>21</v>
      </c>
      <c r="C204" s="24" t="s">
        <v>29</v>
      </c>
      <c r="D204" s="25">
        <v>45685</v>
      </c>
      <c r="E204" s="25">
        <v>45695</v>
      </c>
      <c r="F204" s="50" t="s">
        <v>111</v>
      </c>
      <c r="G204" s="49"/>
    </row>
    <row r="205" spans="1:7" x14ac:dyDescent="0.3">
      <c r="A205" s="45" t="s">
        <v>185</v>
      </c>
      <c r="B205" s="45" t="s">
        <v>21</v>
      </c>
      <c r="C205" s="45" t="s">
        <v>29</v>
      </c>
      <c r="D205" s="46">
        <v>45789</v>
      </c>
      <c r="E205" s="46">
        <v>45821</v>
      </c>
      <c r="F205" s="50" t="s">
        <v>111</v>
      </c>
      <c r="G205" s="51"/>
    </row>
    <row r="206" spans="1:7" x14ac:dyDescent="0.3">
      <c r="A206" s="45" t="s">
        <v>185</v>
      </c>
      <c r="B206" s="45" t="s">
        <v>26</v>
      </c>
      <c r="C206" s="45" t="s">
        <v>27</v>
      </c>
      <c r="D206" s="46">
        <v>45600</v>
      </c>
      <c r="E206" s="46">
        <v>45611</v>
      </c>
      <c r="F206" s="33" t="s">
        <v>31</v>
      </c>
      <c r="G206" s="51"/>
    </row>
    <row r="207" spans="1:7" x14ac:dyDescent="0.3">
      <c r="A207" s="24" t="s">
        <v>185</v>
      </c>
      <c r="B207" s="24" t="s">
        <v>26</v>
      </c>
      <c r="C207" s="24" t="s">
        <v>27</v>
      </c>
      <c r="D207" s="25">
        <v>45642</v>
      </c>
      <c r="E207" s="25">
        <v>45667</v>
      </c>
      <c r="F207" s="52" t="s">
        <v>31</v>
      </c>
      <c r="G207" s="49"/>
    </row>
    <row r="208" spans="1:7" x14ac:dyDescent="0.3">
      <c r="A208" s="24" t="s">
        <v>185</v>
      </c>
      <c r="B208" s="24" t="s">
        <v>144</v>
      </c>
      <c r="C208" s="24" t="s">
        <v>25</v>
      </c>
      <c r="D208" s="25">
        <v>45610</v>
      </c>
      <c r="E208" s="25">
        <v>45610</v>
      </c>
      <c r="F208" s="52" t="s">
        <v>225</v>
      </c>
      <c r="G208" s="49" t="s">
        <v>211</v>
      </c>
    </row>
    <row r="209" spans="1:7" x14ac:dyDescent="0.3">
      <c r="A209" s="24" t="s">
        <v>185</v>
      </c>
      <c r="B209" s="24" t="s">
        <v>145</v>
      </c>
      <c r="C209" s="24" t="s">
        <v>25</v>
      </c>
      <c r="D209" s="25">
        <v>45679</v>
      </c>
      <c r="E209" s="25">
        <v>45679</v>
      </c>
      <c r="F209" s="52" t="s">
        <v>225</v>
      </c>
      <c r="G209" s="49" t="s">
        <v>276</v>
      </c>
    </row>
    <row r="210" spans="1:7" x14ac:dyDescent="0.3">
      <c r="A210" s="24" t="s">
        <v>185</v>
      </c>
      <c r="B210" s="24" t="s">
        <v>145</v>
      </c>
      <c r="C210" s="24" t="s">
        <v>25</v>
      </c>
      <c r="D210" s="25">
        <v>45686</v>
      </c>
      <c r="E210" s="25">
        <v>45686</v>
      </c>
      <c r="F210" s="50" t="s">
        <v>225</v>
      </c>
      <c r="G210" s="49" t="s">
        <v>291</v>
      </c>
    </row>
    <row r="211" spans="1:7" x14ac:dyDescent="0.3">
      <c r="A211" s="24" t="s">
        <v>185</v>
      </c>
      <c r="B211" s="24" t="s">
        <v>152</v>
      </c>
      <c r="C211" s="24" t="s">
        <v>25</v>
      </c>
      <c r="D211" s="25">
        <v>45705</v>
      </c>
      <c r="E211" s="25">
        <v>45705</v>
      </c>
      <c r="F211" s="50" t="s">
        <v>225</v>
      </c>
      <c r="G211" s="49" t="s">
        <v>297</v>
      </c>
    </row>
    <row r="212" spans="1:7" x14ac:dyDescent="0.3">
      <c r="A212" s="24" t="s">
        <v>185</v>
      </c>
      <c r="B212" s="24" t="s">
        <v>152</v>
      </c>
      <c r="C212" s="24" t="s">
        <v>25</v>
      </c>
      <c r="D212" s="25">
        <v>45728</v>
      </c>
      <c r="E212" s="25">
        <v>45728</v>
      </c>
      <c r="F212" s="50" t="s">
        <v>225</v>
      </c>
      <c r="G212" s="49" t="s">
        <v>313</v>
      </c>
    </row>
    <row r="213" spans="1:7" x14ac:dyDescent="0.3">
      <c r="A213" s="24" t="s">
        <v>185</v>
      </c>
      <c r="B213" s="24" t="s">
        <v>145</v>
      </c>
      <c r="C213" s="24" t="s">
        <v>25</v>
      </c>
      <c r="D213" s="25">
        <v>45741</v>
      </c>
      <c r="E213" s="25">
        <v>45741</v>
      </c>
      <c r="F213" s="50" t="s">
        <v>225</v>
      </c>
      <c r="G213" s="49" t="s">
        <v>319</v>
      </c>
    </row>
    <row r="214" spans="1:7" x14ac:dyDescent="0.3">
      <c r="A214" s="24" t="s">
        <v>185</v>
      </c>
      <c r="B214" s="24" t="s">
        <v>145</v>
      </c>
      <c r="C214" s="24" t="s">
        <v>25</v>
      </c>
      <c r="D214" s="25">
        <v>45797</v>
      </c>
      <c r="E214" s="25">
        <v>45797</v>
      </c>
      <c r="F214" s="50" t="s">
        <v>225</v>
      </c>
      <c r="G214" s="49" t="s">
        <v>357</v>
      </c>
    </row>
    <row r="215" spans="1:7" x14ac:dyDescent="0.3">
      <c r="A215" s="24" t="s">
        <v>185</v>
      </c>
      <c r="B215" s="24" t="s">
        <v>145</v>
      </c>
      <c r="C215" s="24" t="s">
        <v>25</v>
      </c>
      <c r="D215" s="25">
        <v>45825</v>
      </c>
      <c r="E215" s="25">
        <v>45825</v>
      </c>
      <c r="F215" s="50" t="s">
        <v>225</v>
      </c>
      <c r="G215" s="49" t="s">
        <v>403</v>
      </c>
    </row>
    <row r="216" spans="1:7" x14ac:dyDescent="0.3">
      <c r="A216" s="24" t="s">
        <v>185</v>
      </c>
      <c r="B216" s="24" t="s">
        <v>152</v>
      </c>
      <c r="C216" s="24" t="s">
        <v>25</v>
      </c>
      <c r="D216" s="25">
        <v>45908</v>
      </c>
      <c r="E216" s="25">
        <v>45908</v>
      </c>
      <c r="F216" s="50" t="s">
        <v>225</v>
      </c>
      <c r="G216" s="49" t="s">
        <v>279</v>
      </c>
    </row>
    <row r="217" spans="1:7" x14ac:dyDescent="0.3">
      <c r="A217" s="108" t="s">
        <v>475</v>
      </c>
      <c r="B217" s="108" t="s">
        <v>6</v>
      </c>
      <c r="C217" s="108" t="s">
        <v>7</v>
      </c>
      <c r="D217" s="109">
        <v>45943</v>
      </c>
      <c r="E217" s="109">
        <v>45961</v>
      </c>
      <c r="F217" s="33" t="s">
        <v>8</v>
      </c>
      <c r="G217" s="111"/>
    </row>
    <row r="218" spans="1:7" x14ac:dyDescent="0.3">
      <c r="A218" s="2" t="s">
        <v>475</v>
      </c>
      <c r="B218" s="2" t="s">
        <v>11</v>
      </c>
      <c r="C218" s="2" t="s">
        <v>14</v>
      </c>
      <c r="D218" s="4">
        <v>45943</v>
      </c>
      <c r="E218" s="4">
        <v>45961</v>
      </c>
      <c r="F218" s="38" t="s">
        <v>75</v>
      </c>
      <c r="G218" s="36"/>
    </row>
    <row r="219" spans="1:7" x14ac:dyDescent="0.3">
      <c r="A219" s="2" t="s">
        <v>475</v>
      </c>
      <c r="B219" s="2" t="s">
        <v>80</v>
      </c>
      <c r="C219" s="2" t="s">
        <v>10</v>
      </c>
      <c r="D219" s="4">
        <v>45964</v>
      </c>
      <c r="E219" s="4">
        <v>45968</v>
      </c>
      <c r="F219" s="38" t="s">
        <v>101</v>
      </c>
      <c r="G219" s="36" t="s">
        <v>480</v>
      </c>
    </row>
    <row r="220" spans="1:7" x14ac:dyDescent="0.3">
      <c r="A220" s="2" t="s">
        <v>475</v>
      </c>
      <c r="B220" s="2" t="s">
        <v>21</v>
      </c>
      <c r="C220" s="2" t="s">
        <v>22</v>
      </c>
      <c r="D220" s="4">
        <v>45964</v>
      </c>
      <c r="E220" s="4">
        <v>45975</v>
      </c>
      <c r="F220" s="38" t="s">
        <v>28</v>
      </c>
      <c r="G220" s="36" t="s">
        <v>481</v>
      </c>
    </row>
    <row r="221" spans="1:7" x14ac:dyDescent="0.3">
      <c r="A221" s="2" t="s">
        <v>475</v>
      </c>
      <c r="B221" s="2" t="s">
        <v>26</v>
      </c>
      <c r="C221" s="2" t="s">
        <v>27</v>
      </c>
      <c r="D221" s="4">
        <v>45994</v>
      </c>
      <c r="E221" s="4">
        <v>46000</v>
      </c>
      <c r="F221" s="38" t="s">
        <v>31</v>
      </c>
      <c r="G221" s="36" t="s">
        <v>479</v>
      </c>
    </row>
    <row r="222" spans="1:7" x14ac:dyDescent="0.3">
      <c r="A222" s="2" t="s">
        <v>475</v>
      </c>
      <c r="B222" s="2" t="s">
        <v>144</v>
      </c>
      <c r="C222" s="2" t="s">
        <v>25</v>
      </c>
      <c r="D222" s="4">
        <v>45993</v>
      </c>
      <c r="E222" s="4">
        <v>45993</v>
      </c>
      <c r="F222" s="38" t="s">
        <v>225</v>
      </c>
      <c r="G222" s="36" t="s">
        <v>603</v>
      </c>
    </row>
    <row r="223" spans="1:7" x14ac:dyDescent="0.3">
      <c r="A223" s="2" t="s">
        <v>475</v>
      </c>
      <c r="B223" s="2" t="s">
        <v>145</v>
      </c>
      <c r="C223" s="2" t="s">
        <v>25</v>
      </c>
      <c r="D223" s="4">
        <v>46000</v>
      </c>
      <c r="E223" s="4">
        <v>46000</v>
      </c>
      <c r="F223" s="38" t="s">
        <v>225</v>
      </c>
      <c r="G223" s="36" t="s">
        <v>478</v>
      </c>
    </row>
    <row r="224" spans="1:7" x14ac:dyDescent="0.3">
      <c r="A224" s="24" t="s">
        <v>35</v>
      </c>
      <c r="B224" s="24" t="s">
        <v>145</v>
      </c>
      <c r="C224" s="24" t="s">
        <v>25</v>
      </c>
      <c r="D224" s="25">
        <v>45455</v>
      </c>
      <c r="E224" s="25">
        <v>45455</v>
      </c>
      <c r="F224" s="52" t="s">
        <v>225</v>
      </c>
      <c r="G224" s="49" t="s">
        <v>161</v>
      </c>
    </row>
    <row r="225" spans="1:7" x14ac:dyDescent="0.3">
      <c r="A225" s="24" t="s">
        <v>36</v>
      </c>
      <c r="B225" s="24" t="s">
        <v>6</v>
      </c>
      <c r="C225" s="24" t="s">
        <v>7</v>
      </c>
      <c r="D225" s="25">
        <v>45446</v>
      </c>
      <c r="E225" s="25">
        <v>45569</v>
      </c>
      <c r="F225" s="52" t="s">
        <v>8</v>
      </c>
      <c r="G225" s="49"/>
    </row>
    <row r="226" spans="1:7" x14ac:dyDescent="0.3">
      <c r="A226" s="24" t="s">
        <v>36</v>
      </c>
      <c r="B226" s="24" t="s">
        <v>11</v>
      </c>
      <c r="C226" s="24" t="s">
        <v>78</v>
      </c>
      <c r="D226" s="25">
        <v>45453</v>
      </c>
      <c r="E226" s="25">
        <v>45569</v>
      </c>
      <c r="F226" s="52" t="s">
        <v>13</v>
      </c>
      <c r="G226" s="49"/>
    </row>
    <row r="227" spans="1:7" x14ac:dyDescent="0.3">
      <c r="A227" s="24" t="s">
        <v>36</v>
      </c>
      <c r="B227" s="24" t="s">
        <v>15</v>
      </c>
      <c r="C227" s="24" t="s">
        <v>16</v>
      </c>
      <c r="D227" s="25">
        <v>45460</v>
      </c>
      <c r="E227" s="25">
        <v>45569</v>
      </c>
      <c r="F227" s="50" t="s">
        <v>17</v>
      </c>
      <c r="G227" s="49"/>
    </row>
    <row r="228" spans="1:7" x14ac:dyDescent="0.3">
      <c r="A228" s="24" t="s">
        <v>36</v>
      </c>
      <c r="B228" s="24" t="s">
        <v>21</v>
      </c>
      <c r="C228" s="24" t="s">
        <v>22</v>
      </c>
      <c r="D228" s="25">
        <v>45523</v>
      </c>
      <c r="E228" s="25">
        <v>45569</v>
      </c>
      <c r="F228" s="50" t="s">
        <v>28</v>
      </c>
      <c r="G228" s="49"/>
    </row>
    <row r="229" spans="1:7" x14ac:dyDescent="0.3">
      <c r="A229" s="24" t="s">
        <v>36</v>
      </c>
      <c r="B229" s="24" t="s">
        <v>21</v>
      </c>
      <c r="C229" s="24" t="s">
        <v>22</v>
      </c>
      <c r="D229" s="25">
        <v>45572</v>
      </c>
      <c r="E229" s="25">
        <v>45596</v>
      </c>
      <c r="F229" s="50" t="s">
        <v>28</v>
      </c>
      <c r="G229" s="49" t="s">
        <v>198</v>
      </c>
    </row>
    <row r="230" spans="1:7" x14ac:dyDescent="0.3">
      <c r="A230" s="45" t="s">
        <v>36</v>
      </c>
      <c r="B230" s="45" t="s">
        <v>21</v>
      </c>
      <c r="C230" s="45" t="s">
        <v>29</v>
      </c>
      <c r="D230" s="46">
        <v>45600</v>
      </c>
      <c r="E230" s="46">
        <v>45602</v>
      </c>
      <c r="F230" s="50" t="s">
        <v>111</v>
      </c>
      <c r="G230" s="51" t="s">
        <v>179</v>
      </c>
    </row>
    <row r="231" spans="1:7" x14ac:dyDescent="0.3">
      <c r="A231" s="24" t="s">
        <v>36</v>
      </c>
      <c r="B231" s="24" t="s">
        <v>26</v>
      </c>
      <c r="C231" s="24" t="s">
        <v>27</v>
      </c>
      <c r="D231" s="25">
        <v>45530</v>
      </c>
      <c r="E231" s="25">
        <v>45569</v>
      </c>
      <c r="F231" s="52" t="s">
        <v>31</v>
      </c>
      <c r="G231" s="49"/>
    </row>
    <row r="232" spans="1:7" x14ac:dyDescent="0.3">
      <c r="A232" s="24" t="s">
        <v>36</v>
      </c>
      <c r="B232" s="24" t="s">
        <v>145</v>
      </c>
      <c r="C232" s="24" t="s">
        <v>25</v>
      </c>
      <c r="D232" s="25">
        <v>45572</v>
      </c>
      <c r="E232" s="25">
        <v>45572</v>
      </c>
      <c r="F232" s="52" t="s">
        <v>225</v>
      </c>
      <c r="G232" s="49"/>
    </row>
    <row r="233" spans="1:7" x14ac:dyDescent="0.3">
      <c r="A233" s="24" t="s">
        <v>36</v>
      </c>
      <c r="B233" s="24" t="s">
        <v>152</v>
      </c>
      <c r="C233" s="24" t="s">
        <v>25</v>
      </c>
      <c r="D233" s="25">
        <v>45602</v>
      </c>
      <c r="E233" s="25">
        <v>45602</v>
      </c>
      <c r="F233" s="52" t="s">
        <v>225</v>
      </c>
      <c r="G233" s="49" t="s">
        <v>201</v>
      </c>
    </row>
    <row r="234" spans="1:7" x14ac:dyDescent="0.3">
      <c r="A234" s="24" t="s">
        <v>36</v>
      </c>
      <c r="B234" s="24" t="s">
        <v>152</v>
      </c>
      <c r="C234" s="24" t="s">
        <v>25</v>
      </c>
      <c r="D234" s="25">
        <v>45603</v>
      </c>
      <c r="E234" s="25">
        <v>45603</v>
      </c>
      <c r="F234" s="52" t="s">
        <v>225</v>
      </c>
      <c r="G234" s="49" t="s">
        <v>202</v>
      </c>
    </row>
    <row r="235" spans="1:7" x14ac:dyDescent="0.3">
      <c r="A235" s="24" t="s">
        <v>415</v>
      </c>
      <c r="B235" s="24" t="s">
        <v>80</v>
      </c>
      <c r="C235" s="24" t="s">
        <v>10</v>
      </c>
      <c r="D235" s="25">
        <v>45832</v>
      </c>
      <c r="E235" s="25">
        <v>45842</v>
      </c>
      <c r="F235" s="52" t="s">
        <v>101</v>
      </c>
      <c r="G235" s="49"/>
    </row>
    <row r="236" spans="1:7" x14ac:dyDescent="0.3">
      <c r="A236" s="24" t="s">
        <v>415</v>
      </c>
      <c r="B236" s="24" t="s">
        <v>21</v>
      </c>
      <c r="C236" s="24" t="s">
        <v>22</v>
      </c>
      <c r="D236" s="25">
        <v>45832</v>
      </c>
      <c r="E236" s="25">
        <v>45842</v>
      </c>
      <c r="F236" s="52" t="s">
        <v>28</v>
      </c>
      <c r="G236" s="49"/>
    </row>
    <row r="237" spans="1:7" x14ac:dyDescent="0.3">
      <c r="A237" s="24" t="s">
        <v>415</v>
      </c>
      <c r="B237" s="24" t="s">
        <v>145</v>
      </c>
      <c r="C237" s="24" t="s">
        <v>25</v>
      </c>
      <c r="D237" s="25">
        <v>45846</v>
      </c>
      <c r="E237" s="25">
        <v>45846</v>
      </c>
      <c r="F237" s="52" t="s">
        <v>225</v>
      </c>
      <c r="G237" s="49"/>
    </row>
    <row r="238" spans="1:7" x14ac:dyDescent="0.3">
      <c r="A238" s="2" t="s">
        <v>593</v>
      </c>
      <c r="B238" s="2" t="s">
        <v>80</v>
      </c>
      <c r="C238" s="2" t="s">
        <v>10</v>
      </c>
      <c r="D238" s="4">
        <v>45978</v>
      </c>
      <c r="E238" s="4">
        <v>45989</v>
      </c>
      <c r="F238" s="38" t="s">
        <v>101</v>
      </c>
      <c r="G238" s="36" t="s">
        <v>528</v>
      </c>
    </row>
    <row r="239" spans="1:7" x14ac:dyDescent="0.3">
      <c r="A239" s="2" t="s">
        <v>593</v>
      </c>
      <c r="B239" s="2" t="s">
        <v>21</v>
      </c>
      <c r="C239" s="2" t="s">
        <v>22</v>
      </c>
      <c r="D239" s="4">
        <v>45978</v>
      </c>
      <c r="E239" s="4">
        <v>45996</v>
      </c>
      <c r="F239" s="38" t="s">
        <v>28</v>
      </c>
      <c r="G239" s="36"/>
    </row>
    <row r="240" spans="1:7" x14ac:dyDescent="0.3">
      <c r="A240" s="2" t="s">
        <v>593</v>
      </c>
      <c r="B240" s="2" t="s">
        <v>26</v>
      </c>
      <c r="C240" s="2" t="s">
        <v>27</v>
      </c>
      <c r="D240" s="4">
        <v>45994</v>
      </c>
      <c r="E240" s="4">
        <v>46000</v>
      </c>
      <c r="F240" s="38" t="s">
        <v>31</v>
      </c>
      <c r="G240" s="36"/>
    </row>
    <row r="241" spans="1:7" x14ac:dyDescent="0.3">
      <c r="A241" s="2" t="s">
        <v>593</v>
      </c>
      <c r="B241" s="2" t="s">
        <v>145</v>
      </c>
      <c r="C241" s="2" t="s">
        <v>25</v>
      </c>
      <c r="D241" s="4">
        <v>46000</v>
      </c>
      <c r="E241" s="4">
        <v>46000</v>
      </c>
      <c r="F241" s="38" t="s">
        <v>225</v>
      </c>
      <c r="G241" s="36" t="s">
        <v>598</v>
      </c>
    </row>
    <row r="242" spans="1:7" x14ac:dyDescent="0.3">
      <c r="A242" s="2" t="s">
        <v>610</v>
      </c>
      <c r="B242" s="2" t="s">
        <v>11</v>
      </c>
      <c r="C242" s="2" t="s">
        <v>14</v>
      </c>
      <c r="D242" s="4">
        <v>45978</v>
      </c>
      <c r="E242" s="4">
        <v>45982</v>
      </c>
      <c r="F242" s="38" t="s">
        <v>75</v>
      </c>
      <c r="G242" s="36"/>
    </row>
    <row r="243" spans="1:7" x14ac:dyDescent="0.3">
      <c r="A243" s="2" t="s">
        <v>610</v>
      </c>
      <c r="B243" s="2" t="s">
        <v>80</v>
      </c>
      <c r="C243" s="2" t="s">
        <v>10</v>
      </c>
      <c r="D243" s="4">
        <v>45992</v>
      </c>
      <c r="E243" s="4">
        <v>45996</v>
      </c>
      <c r="F243" s="38" t="s">
        <v>101</v>
      </c>
      <c r="G243" s="36" t="s">
        <v>616</v>
      </c>
    </row>
    <row r="244" spans="1:7" x14ac:dyDescent="0.3">
      <c r="A244" s="2" t="s">
        <v>610</v>
      </c>
      <c r="B244" s="2" t="s">
        <v>21</v>
      </c>
      <c r="C244" s="2" t="s">
        <v>22</v>
      </c>
      <c r="D244" s="4">
        <v>45992</v>
      </c>
      <c r="E244" s="4">
        <v>45996</v>
      </c>
      <c r="F244" s="38" t="s">
        <v>28</v>
      </c>
      <c r="G244" s="36" t="s">
        <v>614</v>
      </c>
    </row>
    <row r="245" spans="1:7" x14ac:dyDescent="0.3">
      <c r="A245" s="2" t="s">
        <v>610</v>
      </c>
      <c r="B245" s="2" t="s">
        <v>145</v>
      </c>
      <c r="C245" s="2" t="s">
        <v>27</v>
      </c>
      <c r="D245" s="4">
        <v>45994</v>
      </c>
      <c r="E245" s="4">
        <v>46000</v>
      </c>
      <c r="F245" s="38" t="s">
        <v>31</v>
      </c>
      <c r="G245" s="36"/>
    </row>
    <row r="246" spans="1:7" x14ac:dyDescent="0.3">
      <c r="A246" s="2" t="s">
        <v>610</v>
      </c>
      <c r="B246" s="2" t="s">
        <v>145</v>
      </c>
      <c r="C246" s="2" t="s">
        <v>25</v>
      </c>
      <c r="D246" s="4">
        <v>46000</v>
      </c>
      <c r="E246" s="4">
        <v>46000</v>
      </c>
      <c r="F246" s="38" t="s">
        <v>225</v>
      </c>
      <c r="G246" s="36" t="s">
        <v>613</v>
      </c>
    </row>
    <row r="247" spans="1:7" x14ac:dyDescent="0.3">
      <c r="A247" s="24" t="s">
        <v>365</v>
      </c>
      <c r="B247" s="24" t="s">
        <v>80</v>
      </c>
      <c r="C247" s="24" t="s">
        <v>10</v>
      </c>
      <c r="D247" s="25">
        <v>45803</v>
      </c>
      <c r="E247" s="25">
        <v>45821</v>
      </c>
      <c r="F247" s="52" t="s">
        <v>101</v>
      </c>
      <c r="G247" s="49"/>
    </row>
    <row r="248" spans="1:7" x14ac:dyDescent="0.3">
      <c r="A248" s="24" t="s">
        <v>365</v>
      </c>
      <c r="B248" s="24" t="s">
        <v>21</v>
      </c>
      <c r="C248" s="24" t="s">
        <v>22</v>
      </c>
      <c r="D248" s="25">
        <v>45803</v>
      </c>
      <c r="E248" s="25">
        <v>45842</v>
      </c>
      <c r="F248" s="52" t="s">
        <v>28</v>
      </c>
      <c r="G248" s="49"/>
    </row>
    <row r="249" spans="1:7" x14ac:dyDescent="0.3">
      <c r="A249" s="24" t="s">
        <v>365</v>
      </c>
      <c r="B249" s="24" t="s">
        <v>145</v>
      </c>
      <c r="C249" s="24" t="s">
        <v>25</v>
      </c>
      <c r="D249" s="25">
        <v>45846</v>
      </c>
      <c r="E249" s="25">
        <v>45846</v>
      </c>
      <c r="F249" s="52" t="s">
        <v>225</v>
      </c>
      <c r="G249" s="49" t="s">
        <v>439</v>
      </c>
    </row>
    <row r="250" spans="1:7" x14ac:dyDescent="0.3">
      <c r="A250" s="24" t="s">
        <v>173</v>
      </c>
      <c r="B250" s="24" t="s">
        <v>145</v>
      </c>
      <c r="C250" s="24" t="s">
        <v>25</v>
      </c>
      <c r="D250" s="25">
        <v>45638</v>
      </c>
      <c r="E250" s="25">
        <v>45638</v>
      </c>
      <c r="F250" s="52" t="s">
        <v>225</v>
      </c>
      <c r="G250" s="49" t="s">
        <v>234</v>
      </c>
    </row>
    <row r="251" spans="1:7" x14ac:dyDescent="0.3">
      <c r="A251" s="24" t="s">
        <v>399</v>
      </c>
      <c r="B251" s="24" t="s">
        <v>21</v>
      </c>
      <c r="C251" s="24" t="s">
        <v>22</v>
      </c>
      <c r="D251" s="25">
        <v>45803</v>
      </c>
      <c r="E251" s="25">
        <v>45842</v>
      </c>
      <c r="F251" s="52" t="s">
        <v>28</v>
      </c>
      <c r="G251" s="49"/>
    </row>
    <row r="252" spans="1:7" x14ac:dyDescent="0.3">
      <c r="A252" s="24" t="s">
        <v>399</v>
      </c>
      <c r="B252" s="24" t="s">
        <v>145</v>
      </c>
      <c r="C252" s="24" t="s">
        <v>25</v>
      </c>
      <c r="D252" s="25">
        <v>45846</v>
      </c>
      <c r="E252" s="25">
        <v>45846</v>
      </c>
      <c r="F252" s="48" t="s">
        <v>225</v>
      </c>
      <c r="G252" s="49" t="s">
        <v>408</v>
      </c>
    </row>
    <row r="253" spans="1:7" x14ac:dyDescent="0.3">
      <c r="A253" s="24" t="s">
        <v>196</v>
      </c>
      <c r="B253" s="24" t="s">
        <v>21</v>
      </c>
      <c r="C253" s="24" t="s">
        <v>22</v>
      </c>
      <c r="D253" s="25">
        <v>45588</v>
      </c>
      <c r="E253" s="25">
        <v>45611</v>
      </c>
      <c r="F253" s="138" t="s">
        <v>28</v>
      </c>
      <c r="G253" s="49"/>
    </row>
    <row r="254" spans="1:7" x14ac:dyDescent="0.3">
      <c r="A254" s="24" t="s">
        <v>196</v>
      </c>
      <c r="B254" s="24" t="s">
        <v>145</v>
      </c>
      <c r="C254" s="24" t="s">
        <v>25</v>
      </c>
      <c r="D254" s="25">
        <v>45616</v>
      </c>
      <c r="E254" s="25">
        <v>45616</v>
      </c>
      <c r="F254" s="138" t="s">
        <v>225</v>
      </c>
      <c r="G254" s="49" t="s">
        <v>200</v>
      </c>
    </row>
    <row r="255" spans="1:7" x14ac:dyDescent="0.3">
      <c r="A255" s="24" t="s">
        <v>139</v>
      </c>
      <c r="B255" s="24" t="s">
        <v>145</v>
      </c>
      <c r="C255" s="24" t="s">
        <v>25</v>
      </c>
      <c r="D255" s="25">
        <v>45679</v>
      </c>
      <c r="E255" s="25">
        <v>45679</v>
      </c>
      <c r="F255" s="48" t="s">
        <v>225</v>
      </c>
      <c r="G255" s="49" t="s">
        <v>214</v>
      </c>
    </row>
    <row r="256" spans="1:7" x14ac:dyDescent="0.3">
      <c r="A256" s="24" t="s">
        <v>87</v>
      </c>
      <c r="B256" s="24" t="s">
        <v>6</v>
      </c>
      <c r="C256" s="24" t="s">
        <v>7</v>
      </c>
      <c r="D256" s="25">
        <v>45572</v>
      </c>
      <c r="E256" s="25">
        <v>45657</v>
      </c>
      <c r="F256" s="48" t="s">
        <v>8</v>
      </c>
      <c r="G256" s="49"/>
    </row>
    <row r="257" spans="1:7" x14ac:dyDescent="0.3">
      <c r="A257" s="24" t="s">
        <v>87</v>
      </c>
      <c r="B257" s="24" t="s">
        <v>6</v>
      </c>
      <c r="C257" s="24" t="s">
        <v>7</v>
      </c>
      <c r="D257" s="25">
        <v>45768</v>
      </c>
      <c r="E257" s="25">
        <v>45786</v>
      </c>
      <c r="F257" s="48" t="s">
        <v>8</v>
      </c>
      <c r="G257" s="49" t="s">
        <v>343</v>
      </c>
    </row>
    <row r="258" spans="1:7" x14ac:dyDescent="0.3">
      <c r="A258" s="24" t="s">
        <v>87</v>
      </c>
      <c r="B258" s="24" t="s">
        <v>11</v>
      </c>
      <c r="C258" s="24" t="s">
        <v>14</v>
      </c>
      <c r="D258" s="25">
        <v>45586</v>
      </c>
      <c r="E258" s="25">
        <v>45611</v>
      </c>
      <c r="F258" s="138" t="s">
        <v>75</v>
      </c>
      <c r="G258" s="49"/>
    </row>
    <row r="259" spans="1:7" x14ac:dyDescent="0.3">
      <c r="A259" s="24" t="s">
        <v>87</v>
      </c>
      <c r="B259" s="24" t="s">
        <v>11</v>
      </c>
      <c r="C259" s="24" t="s">
        <v>14</v>
      </c>
      <c r="D259" s="25">
        <v>45768</v>
      </c>
      <c r="E259" s="25">
        <v>45786</v>
      </c>
      <c r="F259" s="52" t="s">
        <v>75</v>
      </c>
      <c r="G259" s="49" t="s">
        <v>343</v>
      </c>
    </row>
    <row r="260" spans="1:7" x14ac:dyDescent="0.3">
      <c r="A260" s="24" t="s">
        <v>87</v>
      </c>
      <c r="B260" s="24" t="s">
        <v>11</v>
      </c>
      <c r="C260" s="24" t="s">
        <v>78</v>
      </c>
      <c r="D260" s="25">
        <v>45572</v>
      </c>
      <c r="E260" s="25">
        <v>45611</v>
      </c>
      <c r="F260" s="38" t="s">
        <v>13</v>
      </c>
      <c r="G260" s="49"/>
    </row>
    <row r="261" spans="1:7" x14ac:dyDescent="0.3">
      <c r="A261" s="24" t="s">
        <v>87</v>
      </c>
      <c r="B261" s="24" t="s">
        <v>15</v>
      </c>
      <c r="C261" s="24" t="s">
        <v>16</v>
      </c>
      <c r="D261" s="25">
        <v>45621</v>
      </c>
      <c r="E261" s="25">
        <v>45667</v>
      </c>
      <c r="F261" s="52" t="s">
        <v>17</v>
      </c>
      <c r="G261" s="49"/>
    </row>
    <row r="262" spans="1:7" x14ac:dyDescent="0.3">
      <c r="A262" s="24" t="s">
        <v>87</v>
      </c>
      <c r="B262" s="24" t="s">
        <v>80</v>
      </c>
      <c r="C262" s="24" t="s">
        <v>10</v>
      </c>
      <c r="D262" s="25">
        <v>45621</v>
      </c>
      <c r="E262" s="25">
        <v>45660</v>
      </c>
      <c r="F262" s="52" t="s">
        <v>101</v>
      </c>
      <c r="G262" s="49"/>
    </row>
    <row r="263" spans="1:7" x14ac:dyDescent="0.3">
      <c r="A263" s="24" t="s">
        <v>87</v>
      </c>
      <c r="B263" s="24" t="s">
        <v>80</v>
      </c>
      <c r="C263" s="24" t="s">
        <v>10</v>
      </c>
      <c r="D263" s="25">
        <v>45789</v>
      </c>
      <c r="E263" s="25">
        <v>45821</v>
      </c>
      <c r="F263" s="52" t="s">
        <v>101</v>
      </c>
      <c r="G263" s="49"/>
    </row>
    <row r="264" spans="1:7" x14ac:dyDescent="0.3">
      <c r="A264" s="24" t="s">
        <v>87</v>
      </c>
      <c r="B264" s="24" t="s">
        <v>21</v>
      </c>
      <c r="C264" s="24" t="s">
        <v>22</v>
      </c>
      <c r="D264" s="25">
        <v>45621</v>
      </c>
      <c r="E264" s="25">
        <v>45674</v>
      </c>
      <c r="F264" s="52" t="s">
        <v>28</v>
      </c>
      <c r="G264" s="49"/>
    </row>
    <row r="265" spans="1:7" x14ac:dyDescent="0.3">
      <c r="A265" s="24" t="s">
        <v>87</v>
      </c>
      <c r="B265" s="24" t="s">
        <v>21</v>
      </c>
      <c r="C265" s="24" t="s">
        <v>22</v>
      </c>
      <c r="D265" s="25">
        <v>45775</v>
      </c>
      <c r="E265" s="25">
        <v>45828</v>
      </c>
      <c r="F265" s="52" t="s">
        <v>28</v>
      </c>
      <c r="G265" s="49" t="s">
        <v>343</v>
      </c>
    </row>
    <row r="266" spans="1:7" x14ac:dyDescent="0.3">
      <c r="A266" s="24" t="s">
        <v>87</v>
      </c>
      <c r="B266" s="24" t="s">
        <v>21</v>
      </c>
      <c r="C266" s="24" t="s">
        <v>29</v>
      </c>
      <c r="D266" s="25">
        <v>45674</v>
      </c>
      <c r="E266" s="25">
        <v>45679</v>
      </c>
      <c r="F266" s="52" t="s">
        <v>111</v>
      </c>
      <c r="G266" s="49" t="s">
        <v>179</v>
      </c>
    </row>
    <row r="267" spans="1:7" x14ac:dyDescent="0.3">
      <c r="A267" s="24" t="s">
        <v>87</v>
      </c>
      <c r="B267" s="24" t="s">
        <v>26</v>
      </c>
      <c r="C267" s="24" t="s">
        <v>27</v>
      </c>
      <c r="D267" s="25">
        <v>45621</v>
      </c>
      <c r="E267" s="25">
        <v>45667</v>
      </c>
      <c r="F267" s="52" t="s">
        <v>31</v>
      </c>
      <c r="G267" s="49"/>
    </row>
    <row r="268" spans="1:7" x14ac:dyDescent="0.3">
      <c r="A268" s="24" t="s">
        <v>87</v>
      </c>
      <c r="B268" s="24" t="s">
        <v>26</v>
      </c>
      <c r="C268" s="24" t="s">
        <v>27</v>
      </c>
      <c r="D268" s="25">
        <v>45819</v>
      </c>
      <c r="E268" s="25">
        <v>45825</v>
      </c>
      <c r="F268" s="52" t="s">
        <v>31</v>
      </c>
      <c r="G268" s="49" t="s">
        <v>344</v>
      </c>
    </row>
    <row r="269" spans="1:7" x14ac:dyDescent="0.3">
      <c r="A269" s="24" t="s">
        <v>87</v>
      </c>
      <c r="B269" s="24" t="s">
        <v>144</v>
      </c>
      <c r="C269" s="24" t="s">
        <v>25</v>
      </c>
      <c r="D269" s="25">
        <v>45679</v>
      </c>
      <c r="E269" s="25">
        <v>45679</v>
      </c>
      <c r="F269" s="52" t="s">
        <v>225</v>
      </c>
      <c r="G269" s="49" t="s">
        <v>288</v>
      </c>
    </row>
    <row r="270" spans="1:7" x14ac:dyDescent="0.3">
      <c r="A270" s="24" t="s">
        <v>87</v>
      </c>
      <c r="B270" s="24" t="s">
        <v>152</v>
      </c>
      <c r="C270" s="24" t="s">
        <v>25</v>
      </c>
      <c r="D270" s="25">
        <v>45742</v>
      </c>
      <c r="E270" s="25">
        <v>45742</v>
      </c>
      <c r="F270" s="52" t="s">
        <v>225</v>
      </c>
      <c r="G270" s="49" t="s">
        <v>316</v>
      </c>
    </row>
    <row r="271" spans="1:7" x14ac:dyDescent="0.3">
      <c r="A271" s="24" t="s">
        <v>87</v>
      </c>
      <c r="B271" s="24" t="s">
        <v>152</v>
      </c>
      <c r="C271" s="24" t="s">
        <v>25</v>
      </c>
      <c r="D271" s="25">
        <v>45754</v>
      </c>
      <c r="E271" s="25">
        <v>45754</v>
      </c>
      <c r="F271" s="52" t="s">
        <v>225</v>
      </c>
      <c r="G271" s="49" t="s">
        <v>318</v>
      </c>
    </row>
    <row r="272" spans="1:7" x14ac:dyDescent="0.3">
      <c r="A272" s="24" t="s">
        <v>87</v>
      </c>
      <c r="B272" s="24" t="s">
        <v>145</v>
      </c>
      <c r="C272" s="24" t="s">
        <v>25</v>
      </c>
      <c r="D272" s="25">
        <v>45832</v>
      </c>
      <c r="E272" s="25">
        <v>45832</v>
      </c>
      <c r="F272" s="52" t="s">
        <v>225</v>
      </c>
      <c r="G272" s="49" t="s">
        <v>405</v>
      </c>
    </row>
    <row r="273" spans="1:7" x14ac:dyDescent="0.3">
      <c r="A273" s="24" t="s">
        <v>375</v>
      </c>
      <c r="B273" s="24" t="s">
        <v>6</v>
      </c>
      <c r="C273" s="24" t="s">
        <v>7</v>
      </c>
      <c r="D273" s="25">
        <v>45769</v>
      </c>
      <c r="E273" s="25">
        <v>45800</v>
      </c>
      <c r="F273" s="52" t="s">
        <v>8</v>
      </c>
      <c r="G273" s="49"/>
    </row>
    <row r="274" spans="1:7" x14ac:dyDescent="0.3">
      <c r="A274" s="24" t="s">
        <v>375</v>
      </c>
      <c r="B274" s="24" t="s">
        <v>11</v>
      </c>
      <c r="C274" s="24" t="s">
        <v>14</v>
      </c>
      <c r="D274" s="25">
        <v>45769</v>
      </c>
      <c r="E274" s="25">
        <v>45800</v>
      </c>
      <c r="F274" s="52" t="s">
        <v>75</v>
      </c>
      <c r="G274" s="49"/>
    </row>
    <row r="275" spans="1:7" x14ac:dyDescent="0.3">
      <c r="A275" s="24" t="s">
        <v>375</v>
      </c>
      <c r="B275" s="24" t="s">
        <v>80</v>
      </c>
      <c r="C275" s="24" t="s">
        <v>10</v>
      </c>
      <c r="D275" s="25">
        <v>45803</v>
      </c>
      <c r="E275" s="25">
        <v>45814</v>
      </c>
      <c r="F275" s="52" t="s">
        <v>101</v>
      </c>
      <c r="G275" s="49" t="s">
        <v>378</v>
      </c>
    </row>
    <row r="276" spans="1:7" x14ac:dyDescent="0.3">
      <c r="A276" s="24" t="s">
        <v>375</v>
      </c>
      <c r="B276" s="24" t="s">
        <v>21</v>
      </c>
      <c r="C276" s="24" t="s">
        <v>22</v>
      </c>
      <c r="D276" s="25">
        <v>45810</v>
      </c>
      <c r="E276" s="25">
        <v>45819</v>
      </c>
      <c r="F276" s="52" t="s">
        <v>28</v>
      </c>
      <c r="G276" s="49" t="s">
        <v>377</v>
      </c>
    </row>
    <row r="277" spans="1:7" x14ac:dyDescent="0.3">
      <c r="A277" s="24" t="s">
        <v>375</v>
      </c>
      <c r="B277" s="24" t="s">
        <v>26</v>
      </c>
      <c r="C277" s="24" t="s">
        <v>27</v>
      </c>
      <c r="D277" s="25">
        <v>45817</v>
      </c>
      <c r="E277" s="25">
        <v>45821</v>
      </c>
      <c r="F277" s="52" t="s">
        <v>31</v>
      </c>
      <c r="G277" s="49"/>
    </row>
    <row r="278" spans="1:7" x14ac:dyDescent="0.3">
      <c r="A278" s="24" t="s">
        <v>375</v>
      </c>
      <c r="B278" s="24" t="s">
        <v>145</v>
      </c>
      <c r="C278" s="24" t="s">
        <v>25</v>
      </c>
      <c r="D278" s="25">
        <v>45825</v>
      </c>
      <c r="E278" s="25">
        <v>45825</v>
      </c>
      <c r="F278" s="52" t="s">
        <v>225</v>
      </c>
      <c r="G278" s="49" t="s">
        <v>406</v>
      </c>
    </row>
    <row r="279" spans="1:7" x14ac:dyDescent="0.3">
      <c r="A279" s="24" t="s">
        <v>375</v>
      </c>
      <c r="B279" s="24" t="s">
        <v>145</v>
      </c>
      <c r="C279" s="24" t="s">
        <v>25</v>
      </c>
      <c r="D279" s="25">
        <v>45846</v>
      </c>
      <c r="E279" s="25">
        <v>45846</v>
      </c>
      <c r="F279" s="52" t="s">
        <v>225</v>
      </c>
      <c r="G279" s="49" t="s">
        <v>407</v>
      </c>
    </row>
    <row r="280" spans="1:7" x14ac:dyDescent="0.3">
      <c r="A280" s="24" t="s">
        <v>299</v>
      </c>
      <c r="B280" s="24" t="s">
        <v>6</v>
      </c>
      <c r="C280" s="24" t="s">
        <v>7</v>
      </c>
      <c r="D280" s="25">
        <v>45747</v>
      </c>
      <c r="E280" s="25">
        <v>45926</v>
      </c>
      <c r="F280" s="52" t="s">
        <v>8</v>
      </c>
      <c r="G280" s="49"/>
    </row>
    <row r="281" spans="1:7" x14ac:dyDescent="0.3">
      <c r="A281" s="24" t="s">
        <v>299</v>
      </c>
      <c r="B281" s="24" t="s">
        <v>11</v>
      </c>
      <c r="C281" s="24" t="s">
        <v>78</v>
      </c>
      <c r="D281" s="25">
        <v>45803</v>
      </c>
      <c r="E281" s="25">
        <v>45933</v>
      </c>
      <c r="F281" s="52" t="s">
        <v>13</v>
      </c>
      <c r="G281" s="49"/>
    </row>
    <row r="282" spans="1:7" x14ac:dyDescent="0.3">
      <c r="A282" s="24" t="s">
        <v>299</v>
      </c>
      <c r="B282" s="24" t="s">
        <v>15</v>
      </c>
      <c r="C282" s="24" t="s">
        <v>16</v>
      </c>
      <c r="D282" s="25">
        <v>45824</v>
      </c>
      <c r="E282" s="25">
        <v>45940</v>
      </c>
      <c r="F282" s="52" t="s">
        <v>17</v>
      </c>
      <c r="G282" s="49"/>
    </row>
    <row r="283" spans="1:7" x14ac:dyDescent="0.3">
      <c r="A283" s="24" t="s">
        <v>299</v>
      </c>
      <c r="B283" s="24" t="s">
        <v>19</v>
      </c>
      <c r="C283" s="24" t="s">
        <v>18</v>
      </c>
      <c r="D283" s="25">
        <v>45845</v>
      </c>
      <c r="E283" s="25">
        <v>45940</v>
      </c>
      <c r="F283" s="52" t="s">
        <v>98</v>
      </c>
      <c r="G283" s="49"/>
    </row>
    <row r="284" spans="1:7" x14ac:dyDescent="0.3">
      <c r="A284" s="24" t="s">
        <v>299</v>
      </c>
      <c r="B284" s="24" t="s">
        <v>21</v>
      </c>
      <c r="C284" s="24" t="s">
        <v>22</v>
      </c>
      <c r="D284" s="25">
        <v>45880</v>
      </c>
      <c r="E284" s="25">
        <v>45940</v>
      </c>
      <c r="F284" s="52" t="s">
        <v>28</v>
      </c>
      <c r="G284" s="49"/>
    </row>
    <row r="285" spans="1:7" x14ac:dyDescent="0.3">
      <c r="A285" s="2" t="s">
        <v>299</v>
      </c>
      <c r="B285" s="2" t="s">
        <v>26</v>
      </c>
      <c r="C285" s="2" t="s">
        <v>27</v>
      </c>
      <c r="D285" s="4">
        <v>45880</v>
      </c>
      <c r="E285" s="4">
        <v>45940</v>
      </c>
      <c r="F285" s="38" t="s">
        <v>31</v>
      </c>
      <c r="G285" s="36" t="s">
        <v>309</v>
      </c>
    </row>
    <row r="286" spans="1:7" x14ac:dyDescent="0.3">
      <c r="A286" s="24" t="s">
        <v>299</v>
      </c>
      <c r="B286" s="24" t="s">
        <v>144</v>
      </c>
      <c r="C286" s="24" t="s">
        <v>25</v>
      </c>
      <c r="D286" s="25">
        <v>45943</v>
      </c>
      <c r="E286" s="25">
        <v>45943</v>
      </c>
      <c r="F286" s="52" t="s">
        <v>225</v>
      </c>
      <c r="G286" s="49"/>
    </row>
    <row r="287" spans="1:7" x14ac:dyDescent="0.3">
      <c r="A287" s="24" t="s">
        <v>383</v>
      </c>
      <c r="B287" s="24" t="s">
        <v>21</v>
      </c>
      <c r="C287" s="24" t="s">
        <v>29</v>
      </c>
      <c r="D287" s="25">
        <v>45803</v>
      </c>
      <c r="E287" s="25">
        <v>45819</v>
      </c>
      <c r="F287" s="52" t="s">
        <v>111</v>
      </c>
      <c r="G287" s="49"/>
    </row>
    <row r="288" spans="1:7" x14ac:dyDescent="0.3">
      <c r="A288" s="24" t="s">
        <v>358</v>
      </c>
      <c r="B288" s="24" t="s">
        <v>21</v>
      </c>
      <c r="C288" s="24" t="s">
        <v>29</v>
      </c>
      <c r="D288" s="25">
        <v>45768</v>
      </c>
      <c r="E288" s="25">
        <v>45786</v>
      </c>
      <c r="F288" s="52" t="s">
        <v>111</v>
      </c>
      <c r="G288" s="49"/>
    </row>
    <row r="289" spans="1:7" x14ac:dyDescent="0.3">
      <c r="A289" s="24" t="s">
        <v>358</v>
      </c>
      <c r="B289" s="24" t="s">
        <v>145</v>
      </c>
      <c r="C289" s="24" t="s">
        <v>25</v>
      </c>
      <c r="D289" s="25">
        <v>45782</v>
      </c>
      <c r="E289" s="25">
        <v>45782</v>
      </c>
      <c r="F289" s="52" t="s">
        <v>225</v>
      </c>
      <c r="G289" s="49" t="s">
        <v>361</v>
      </c>
    </row>
    <row r="290" spans="1:7" x14ac:dyDescent="0.3">
      <c r="A290" s="24" t="s">
        <v>193</v>
      </c>
      <c r="B290" s="24" t="s">
        <v>145</v>
      </c>
      <c r="C290" s="24" t="s">
        <v>25</v>
      </c>
      <c r="D290" s="25">
        <v>45679</v>
      </c>
      <c r="E290" s="25">
        <v>45679</v>
      </c>
      <c r="F290" s="52" t="s">
        <v>225</v>
      </c>
      <c r="G290" s="49" t="s">
        <v>281</v>
      </c>
    </row>
    <row r="291" spans="1:7" x14ac:dyDescent="0.3">
      <c r="A291" s="24" t="s">
        <v>191</v>
      </c>
      <c r="B291" s="24" t="s">
        <v>15</v>
      </c>
      <c r="C291" s="24" t="s">
        <v>16</v>
      </c>
      <c r="D291" s="25">
        <v>45579</v>
      </c>
      <c r="E291" s="25">
        <v>45611</v>
      </c>
      <c r="F291" s="38" t="s">
        <v>17</v>
      </c>
      <c r="G291" s="49"/>
    </row>
    <row r="292" spans="1:7" x14ac:dyDescent="0.3">
      <c r="A292" s="24" t="s">
        <v>191</v>
      </c>
      <c r="B292" s="24" t="s">
        <v>21</v>
      </c>
      <c r="C292" s="24" t="s">
        <v>22</v>
      </c>
      <c r="D292" s="25">
        <v>45588</v>
      </c>
      <c r="E292" s="25">
        <v>45611</v>
      </c>
      <c r="F292" s="38" t="s">
        <v>28</v>
      </c>
      <c r="G292" s="49"/>
    </row>
    <row r="293" spans="1:7" x14ac:dyDescent="0.3">
      <c r="A293" s="24" t="s">
        <v>191</v>
      </c>
      <c r="B293" s="24" t="s">
        <v>26</v>
      </c>
      <c r="C293" s="24" t="s">
        <v>27</v>
      </c>
      <c r="D293" s="25">
        <v>45600</v>
      </c>
      <c r="E293" s="25">
        <v>45611</v>
      </c>
      <c r="F293" s="38" t="s">
        <v>31</v>
      </c>
      <c r="G293" s="49"/>
    </row>
    <row r="294" spans="1:7" x14ac:dyDescent="0.3">
      <c r="A294" s="24" t="s">
        <v>191</v>
      </c>
      <c r="B294" s="24" t="s">
        <v>144</v>
      </c>
      <c r="C294" s="24" t="s">
        <v>25</v>
      </c>
      <c r="D294" s="25">
        <v>45595</v>
      </c>
      <c r="E294" s="25">
        <v>45595</v>
      </c>
      <c r="F294" s="52" t="s">
        <v>225</v>
      </c>
      <c r="G294" s="49" t="s">
        <v>208</v>
      </c>
    </row>
    <row r="295" spans="1:7" x14ac:dyDescent="0.3">
      <c r="A295" s="24" t="s">
        <v>191</v>
      </c>
      <c r="B295" s="24" t="s">
        <v>145</v>
      </c>
      <c r="C295" s="24" t="s">
        <v>25</v>
      </c>
      <c r="D295" s="25">
        <v>45630</v>
      </c>
      <c r="E295" s="25">
        <v>45630</v>
      </c>
      <c r="F295" s="52" t="s">
        <v>225</v>
      </c>
      <c r="G295" s="49" t="s">
        <v>247</v>
      </c>
    </row>
    <row r="296" spans="1:7" x14ac:dyDescent="0.3">
      <c r="A296" s="2" t="s">
        <v>460</v>
      </c>
      <c r="B296" s="2" t="s">
        <v>6</v>
      </c>
      <c r="C296" s="2" t="s">
        <v>7</v>
      </c>
      <c r="D296" s="4">
        <v>45908</v>
      </c>
      <c r="E296" s="4">
        <v>45961</v>
      </c>
      <c r="F296" s="38" t="s">
        <v>8</v>
      </c>
      <c r="G296" s="36"/>
    </row>
    <row r="297" spans="1:7" x14ac:dyDescent="0.3">
      <c r="A297" s="2" t="s">
        <v>460</v>
      </c>
      <c r="B297" s="2" t="s">
        <v>11</v>
      </c>
      <c r="C297" s="2" t="s">
        <v>14</v>
      </c>
      <c r="D297" s="4">
        <v>45908</v>
      </c>
      <c r="E297" s="4">
        <v>45961</v>
      </c>
      <c r="F297" s="38" t="s">
        <v>75</v>
      </c>
      <c r="G297" s="36"/>
    </row>
    <row r="298" spans="1:7" x14ac:dyDescent="0.3">
      <c r="A298" s="2" t="s">
        <v>460</v>
      </c>
      <c r="B298" s="2" t="s">
        <v>80</v>
      </c>
      <c r="C298" s="2" t="s">
        <v>10</v>
      </c>
      <c r="D298" s="4">
        <v>45936</v>
      </c>
      <c r="E298" s="4">
        <v>45975</v>
      </c>
      <c r="F298" s="33" t="s">
        <v>101</v>
      </c>
      <c r="G298" s="36" t="s">
        <v>309</v>
      </c>
    </row>
    <row r="299" spans="1:7" x14ac:dyDescent="0.3">
      <c r="A299" s="2" t="s">
        <v>460</v>
      </c>
      <c r="B299" s="2" t="s">
        <v>21</v>
      </c>
      <c r="C299" s="2" t="s">
        <v>100</v>
      </c>
      <c r="D299" s="4">
        <v>45929</v>
      </c>
      <c r="E299" s="4">
        <v>45947</v>
      </c>
      <c r="F299" s="33" t="s">
        <v>106</v>
      </c>
      <c r="G299" s="36" t="s">
        <v>469</v>
      </c>
    </row>
    <row r="300" spans="1:7" x14ac:dyDescent="0.3">
      <c r="A300" s="2" t="s">
        <v>460</v>
      </c>
      <c r="B300" s="2" t="s">
        <v>21</v>
      </c>
      <c r="C300" s="2" t="s">
        <v>100</v>
      </c>
      <c r="D300" s="4">
        <v>45950</v>
      </c>
      <c r="E300" s="4">
        <v>45996</v>
      </c>
      <c r="F300" s="38" t="s">
        <v>106</v>
      </c>
      <c r="G300" s="36" t="s">
        <v>470</v>
      </c>
    </row>
    <row r="301" spans="1:7" x14ac:dyDescent="0.3">
      <c r="A301" s="2" t="s">
        <v>460</v>
      </c>
      <c r="B301" s="2" t="s">
        <v>21</v>
      </c>
      <c r="C301" s="2" t="s">
        <v>22</v>
      </c>
      <c r="D301" s="4">
        <v>45992</v>
      </c>
      <c r="E301" s="4">
        <v>45996</v>
      </c>
      <c r="F301" s="33" t="s">
        <v>28</v>
      </c>
      <c r="G301" s="36" t="s">
        <v>567</v>
      </c>
    </row>
    <row r="302" spans="1:7" x14ac:dyDescent="0.3">
      <c r="A302" s="2" t="s">
        <v>460</v>
      </c>
      <c r="B302" s="2" t="s">
        <v>21</v>
      </c>
      <c r="C302" s="2" t="s">
        <v>29</v>
      </c>
      <c r="D302" s="4">
        <v>45964</v>
      </c>
      <c r="E302" s="4">
        <v>45996</v>
      </c>
      <c r="F302" s="33" t="s">
        <v>111</v>
      </c>
      <c r="G302" s="36" t="s">
        <v>552</v>
      </c>
    </row>
    <row r="303" spans="1:7" x14ac:dyDescent="0.3">
      <c r="A303" s="2" t="s">
        <v>460</v>
      </c>
      <c r="B303" s="2" t="s">
        <v>26</v>
      </c>
      <c r="C303" s="2" t="s">
        <v>27</v>
      </c>
      <c r="D303" s="4">
        <v>45985</v>
      </c>
      <c r="E303" s="4">
        <v>46000</v>
      </c>
      <c r="F303" s="33" t="s">
        <v>31</v>
      </c>
      <c r="G303" s="36" t="s">
        <v>471</v>
      </c>
    </row>
    <row r="304" spans="1:7" x14ac:dyDescent="0.3">
      <c r="A304" s="108" t="s">
        <v>460</v>
      </c>
      <c r="B304" s="108" t="s">
        <v>145</v>
      </c>
      <c r="C304" s="108" t="s">
        <v>25</v>
      </c>
      <c r="D304" s="109">
        <v>46000</v>
      </c>
      <c r="E304" s="109">
        <v>46000</v>
      </c>
      <c r="F304" s="33" t="s">
        <v>225</v>
      </c>
      <c r="G304" s="111" t="s">
        <v>468</v>
      </c>
    </row>
    <row r="305" spans="1:7" x14ac:dyDescent="0.3">
      <c r="A305" s="24" t="s">
        <v>37</v>
      </c>
      <c r="B305" s="24" t="s">
        <v>6</v>
      </c>
      <c r="C305" s="24" t="s">
        <v>38</v>
      </c>
      <c r="D305" s="25">
        <v>45446</v>
      </c>
      <c r="E305" s="25">
        <v>45565</v>
      </c>
      <c r="F305" s="52" t="s">
        <v>39</v>
      </c>
      <c r="G305" s="49"/>
    </row>
    <row r="306" spans="1:7" x14ac:dyDescent="0.3">
      <c r="A306" s="24" t="s">
        <v>37</v>
      </c>
      <c r="B306" s="24" t="s">
        <v>11</v>
      </c>
      <c r="C306" s="24" t="s">
        <v>78</v>
      </c>
      <c r="D306" s="25">
        <v>45446</v>
      </c>
      <c r="E306" s="25">
        <v>45565</v>
      </c>
      <c r="F306" s="52" t="s">
        <v>13</v>
      </c>
      <c r="G306" s="49"/>
    </row>
    <row r="307" spans="1:7" x14ac:dyDescent="0.3">
      <c r="A307" s="24" t="s">
        <v>37</v>
      </c>
      <c r="B307" s="24" t="s">
        <v>15</v>
      </c>
      <c r="C307" s="24" t="s">
        <v>16</v>
      </c>
      <c r="D307" s="25">
        <v>45481</v>
      </c>
      <c r="E307" s="25">
        <v>45565</v>
      </c>
      <c r="F307" s="52" t="s">
        <v>17</v>
      </c>
      <c r="G307" s="49"/>
    </row>
    <row r="308" spans="1:7" x14ac:dyDescent="0.3">
      <c r="A308" s="24" t="s">
        <v>37</v>
      </c>
      <c r="B308" s="24" t="s">
        <v>19</v>
      </c>
      <c r="C308" s="24" t="s">
        <v>18</v>
      </c>
      <c r="D308" s="25">
        <v>45488</v>
      </c>
      <c r="E308" s="25">
        <v>45565</v>
      </c>
      <c r="F308" s="52" t="s">
        <v>98</v>
      </c>
      <c r="G308" s="49"/>
    </row>
    <row r="309" spans="1:7" x14ac:dyDescent="0.3">
      <c r="A309" s="24" t="s">
        <v>37</v>
      </c>
      <c r="B309" s="24" t="s">
        <v>21</v>
      </c>
      <c r="C309" s="24" t="s">
        <v>22</v>
      </c>
      <c r="D309" s="25">
        <v>45523</v>
      </c>
      <c r="E309" s="25">
        <v>45569</v>
      </c>
      <c r="F309" s="52" t="s">
        <v>28</v>
      </c>
      <c r="G309" s="49"/>
    </row>
    <row r="310" spans="1:7" x14ac:dyDescent="0.3">
      <c r="A310" s="24" t="s">
        <v>37</v>
      </c>
      <c r="B310" s="24" t="s">
        <v>21</v>
      </c>
      <c r="C310" s="24" t="s">
        <v>22</v>
      </c>
      <c r="D310" s="25">
        <v>45576</v>
      </c>
      <c r="E310" s="25">
        <v>45590</v>
      </c>
      <c r="F310" s="52" t="s">
        <v>28</v>
      </c>
      <c r="G310" s="49" t="s">
        <v>180</v>
      </c>
    </row>
    <row r="311" spans="1:7" x14ac:dyDescent="0.3">
      <c r="A311" s="24" t="s">
        <v>37</v>
      </c>
      <c r="B311" s="24" t="s">
        <v>21</v>
      </c>
      <c r="C311" s="24" t="s">
        <v>29</v>
      </c>
      <c r="D311" s="25">
        <v>45614</v>
      </c>
      <c r="E311" s="25">
        <v>45616</v>
      </c>
      <c r="F311" s="38" t="s">
        <v>111</v>
      </c>
      <c r="G311" s="49" t="s">
        <v>179</v>
      </c>
    </row>
    <row r="312" spans="1:7" x14ac:dyDescent="0.3">
      <c r="A312" s="24" t="s">
        <v>37</v>
      </c>
      <c r="B312" s="24" t="s">
        <v>26</v>
      </c>
      <c r="C312" s="24" t="s">
        <v>27</v>
      </c>
      <c r="D312" s="25">
        <v>45544</v>
      </c>
      <c r="E312" s="25">
        <v>45611</v>
      </c>
      <c r="F312" s="83" t="s">
        <v>31</v>
      </c>
      <c r="G312" s="49"/>
    </row>
    <row r="313" spans="1:7" x14ac:dyDescent="0.3">
      <c r="A313" s="24" t="s">
        <v>37</v>
      </c>
      <c r="B313" s="24" t="s">
        <v>141</v>
      </c>
      <c r="C313" s="24" t="s">
        <v>25</v>
      </c>
      <c r="D313" s="25">
        <v>45554</v>
      </c>
      <c r="E313" s="25">
        <v>45554</v>
      </c>
      <c r="F313" s="52" t="s">
        <v>225</v>
      </c>
      <c r="G313" s="49" t="s">
        <v>160</v>
      </c>
    </row>
    <row r="314" spans="1:7" x14ac:dyDescent="0.3">
      <c r="A314" s="24" t="s">
        <v>37</v>
      </c>
      <c r="B314" s="24" t="s">
        <v>144</v>
      </c>
      <c r="C314" s="24" t="s">
        <v>25</v>
      </c>
      <c r="D314" s="25">
        <v>45572</v>
      </c>
      <c r="E314" s="25">
        <v>45572</v>
      </c>
      <c r="F314" s="52" t="s">
        <v>225</v>
      </c>
      <c r="G314" s="49" t="s">
        <v>166</v>
      </c>
    </row>
    <row r="315" spans="1:7" x14ac:dyDescent="0.3">
      <c r="A315" s="24" t="s">
        <v>37</v>
      </c>
      <c r="B315" s="24" t="s">
        <v>145</v>
      </c>
      <c r="C315" s="24" t="s">
        <v>25</v>
      </c>
      <c r="D315" s="25">
        <v>45574</v>
      </c>
      <c r="E315" s="25">
        <v>45574</v>
      </c>
      <c r="F315" s="52" t="s">
        <v>225</v>
      </c>
      <c r="G315" s="49" t="s">
        <v>165</v>
      </c>
    </row>
    <row r="316" spans="1:7" x14ac:dyDescent="0.3">
      <c r="A316" s="24" t="s">
        <v>37</v>
      </c>
      <c r="B316" s="24" t="s">
        <v>152</v>
      </c>
      <c r="C316" s="24" t="s">
        <v>25</v>
      </c>
      <c r="D316" s="25">
        <v>45616</v>
      </c>
      <c r="E316" s="25">
        <v>45616</v>
      </c>
      <c r="F316" s="38" t="s">
        <v>225</v>
      </c>
      <c r="G316" s="49" t="s">
        <v>167</v>
      </c>
    </row>
    <row r="317" spans="1:7" x14ac:dyDescent="0.3">
      <c r="A317" s="24" t="s">
        <v>37</v>
      </c>
      <c r="B317" s="24" t="s">
        <v>145</v>
      </c>
      <c r="C317" s="24" t="s">
        <v>25</v>
      </c>
      <c r="D317" s="25">
        <v>45616</v>
      </c>
      <c r="E317" s="25">
        <v>45616</v>
      </c>
      <c r="F317" s="38" t="s">
        <v>225</v>
      </c>
      <c r="G317" s="49" t="s">
        <v>210</v>
      </c>
    </row>
    <row r="318" spans="1:7" x14ac:dyDescent="0.3">
      <c r="A318" s="24" t="s">
        <v>579</v>
      </c>
      <c r="B318" s="24" t="s">
        <v>6</v>
      </c>
      <c r="C318" s="24" t="s">
        <v>7</v>
      </c>
      <c r="D318" s="25">
        <v>45939</v>
      </c>
      <c r="E318" s="25">
        <v>45961</v>
      </c>
      <c r="F318" s="52" t="s">
        <v>8</v>
      </c>
      <c r="G318" s="49"/>
    </row>
    <row r="319" spans="1:7" x14ac:dyDescent="0.3">
      <c r="A319" s="24" t="s">
        <v>579</v>
      </c>
      <c r="B319" s="24" t="s">
        <v>11</v>
      </c>
      <c r="C319" s="24" t="s">
        <v>14</v>
      </c>
      <c r="D319" s="25">
        <v>45939</v>
      </c>
      <c r="E319" s="25">
        <v>45961</v>
      </c>
      <c r="F319" s="52" t="s">
        <v>75</v>
      </c>
      <c r="G319" s="49"/>
    </row>
    <row r="320" spans="1:7" x14ac:dyDescent="0.3">
      <c r="A320" s="24" t="s">
        <v>579</v>
      </c>
      <c r="B320" s="24" t="s">
        <v>80</v>
      </c>
      <c r="C320" s="24" t="s">
        <v>10</v>
      </c>
      <c r="D320" s="25">
        <v>45964</v>
      </c>
      <c r="E320" s="25">
        <v>45975</v>
      </c>
      <c r="F320" s="52" t="s">
        <v>101</v>
      </c>
      <c r="G320" s="49"/>
    </row>
    <row r="321" spans="1:7" x14ac:dyDescent="0.3">
      <c r="A321" s="24" t="s">
        <v>579</v>
      </c>
      <c r="B321" s="24" t="s">
        <v>21</v>
      </c>
      <c r="C321" s="24" t="s">
        <v>22</v>
      </c>
      <c r="D321" s="25">
        <v>45964</v>
      </c>
      <c r="E321" s="25">
        <v>45975</v>
      </c>
      <c r="F321" s="52" t="s">
        <v>28</v>
      </c>
      <c r="G321" s="49" t="s">
        <v>586</v>
      </c>
    </row>
    <row r="322" spans="1:7" x14ac:dyDescent="0.3">
      <c r="A322" s="24" t="s">
        <v>579</v>
      </c>
      <c r="B322" s="24" t="s">
        <v>26</v>
      </c>
      <c r="C322" s="24" t="s">
        <v>27</v>
      </c>
      <c r="D322" s="25">
        <v>45973</v>
      </c>
      <c r="E322" s="25">
        <v>45979</v>
      </c>
      <c r="F322" s="52" t="s">
        <v>31</v>
      </c>
      <c r="G322" s="49" t="s">
        <v>527</v>
      </c>
    </row>
    <row r="323" spans="1:7" x14ac:dyDescent="0.3">
      <c r="A323" s="24" t="s">
        <v>579</v>
      </c>
      <c r="B323" s="24" t="s">
        <v>145</v>
      </c>
      <c r="C323" s="24" t="s">
        <v>25</v>
      </c>
      <c r="D323" s="25">
        <v>45979</v>
      </c>
      <c r="E323" s="25">
        <v>45979</v>
      </c>
      <c r="F323" s="52" t="s">
        <v>225</v>
      </c>
      <c r="G323" s="49" t="s">
        <v>583</v>
      </c>
    </row>
    <row r="324" spans="1:7" x14ac:dyDescent="0.3">
      <c r="A324" s="24" t="s">
        <v>230</v>
      </c>
      <c r="B324" s="24" t="s">
        <v>6</v>
      </c>
      <c r="C324" s="24" t="s">
        <v>7</v>
      </c>
      <c r="D324" s="25">
        <v>45446</v>
      </c>
      <c r="E324" s="25">
        <v>45583</v>
      </c>
      <c r="F324" s="38" t="s">
        <v>8</v>
      </c>
      <c r="G324" s="49"/>
    </row>
    <row r="325" spans="1:7" x14ac:dyDescent="0.3">
      <c r="A325" s="24" t="s">
        <v>230</v>
      </c>
      <c r="B325" s="24" t="s">
        <v>11</v>
      </c>
      <c r="C325" s="24" t="s">
        <v>78</v>
      </c>
      <c r="D325" s="25">
        <v>45453</v>
      </c>
      <c r="E325" s="25">
        <v>45611</v>
      </c>
      <c r="F325" s="52" t="s">
        <v>13</v>
      </c>
      <c r="G325" s="49"/>
    </row>
    <row r="326" spans="1:7" x14ac:dyDescent="0.3">
      <c r="A326" s="24" t="s">
        <v>230</v>
      </c>
      <c r="B326" s="24" t="s">
        <v>15</v>
      </c>
      <c r="C326" s="24" t="s">
        <v>16</v>
      </c>
      <c r="D326" s="25">
        <v>45467</v>
      </c>
      <c r="E326" s="25">
        <v>45583</v>
      </c>
      <c r="F326" s="52" t="s">
        <v>17</v>
      </c>
      <c r="G326" s="49"/>
    </row>
    <row r="327" spans="1:7" x14ac:dyDescent="0.3">
      <c r="A327" s="24" t="s">
        <v>230</v>
      </c>
      <c r="B327" s="24" t="s">
        <v>19</v>
      </c>
      <c r="C327" s="24" t="s">
        <v>18</v>
      </c>
      <c r="D327" s="25">
        <v>45488</v>
      </c>
      <c r="E327" s="25">
        <v>45569</v>
      </c>
      <c r="F327" s="52" t="s">
        <v>98</v>
      </c>
      <c r="G327" s="49"/>
    </row>
    <row r="328" spans="1:7" x14ac:dyDescent="0.3">
      <c r="A328" s="24" t="s">
        <v>230</v>
      </c>
      <c r="B328" s="24" t="s">
        <v>21</v>
      </c>
      <c r="C328" s="24" t="s">
        <v>22</v>
      </c>
      <c r="D328" s="25">
        <v>45523</v>
      </c>
      <c r="E328" s="25">
        <v>45574</v>
      </c>
      <c r="F328" s="52" t="s">
        <v>28</v>
      </c>
      <c r="G328" s="49" t="s">
        <v>172</v>
      </c>
    </row>
    <row r="329" spans="1:7" x14ac:dyDescent="0.3">
      <c r="A329" s="24" t="s">
        <v>230</v>
      </c>
      <c r="B329" s="24" t="s">
        <v>21</v>
      </c>
      <c r="C329" s="24" t="s">
        <v>22</v>
      </c>
      <c r="D329" s="25">
        <v>45576</v>
      </c>
      <c r="E329" s="25">
        <v>45611</v>
      </c>
      <c r="F329" s="52" t="s">
        <v>28</v>
      </c>
      <c r="G329" s="49" t="s">
        <v>178</v>
      </c>
    </row>
    <row r="330" spans="1:7" x14ac:dyDescent="0.3">
      <c r="A330" s="24" t="s">
        <v>230</v>
      </c>
      <c r="B330" s="24" t="s">
        <v>21</v>
      </c>
      <c r="C330" s="24" t="s">
        <v>29</v>
      </c>
      <c r="D330" s="25">
        <v>45565</v>
      </c>
      <c r="E330" s="25">
        <v>45611</v>
      </c>
      <c r="F330" s="52" t="s">
        <v>111</v>
      </c>
      <c r="G330" s="49" t="s">
        <v>171</v>
      </c>
    </row>
    <row r="331" spans="1:7" x14ac:dyDescent="0.3">
      <c r="A331" s="24" t="s">
        <v>230</v>
      </c>
      <c r="B331" s="24" t="s">
        <v>21</v>
      </c>
      <c r="C331" s="24" t="s">
        <v>29</v>
      </c>
      <c r="D331" s="25">
        <v>45614</v>
      </c>
      <c r="E331" s="25">
        <v>45616</v>
      </c>
      <c r="F331" s="38" t="s">
        <v>111</v>
      </c>
      <c r="G331" s="49" t="s">
        <v>207</v>
      </c>
    </row>
    <row r="332" spans="1:7" x14ac:dyDescent="0.3">
      <c r="A332" s="24" t="s">
        <v>230</v>
      </c>
      <c r="B332" s="24" t="s">
        <v>26</v>
      </c>
      <c r="C332" s="24" t="s">
        <v>27</v>
      </c>
      <c r="D332" s="25">
        <v>45565</v>
      </c>
      <c r="E332" s="25">
        <v>45611</v>
      </c>
      <c r="F332" s="52" t="s">
        <v>31</v>
      </c>
      <c r="G332" s="49"/>
    </row>
    <row r="333" spans="1:7" x14ac:dyDescent="0.3">
      <c r="A333" s="24" t="s">
        <v>230</v>
      </c>
      <c r="B333" s="24" t="s">
        <v>141</v>
      </c>
      <c r="C333" s="24" t="s">
        <v>25</v>
      </c>
      <c r="D333" s="25">
        <v>45554</v>
      </c>
      <c r="E333" s="25">
        <v>45554</v>
      </c>
      <c r="F333" s="52" t="s">
        <v>225</v>
      </c>
      <c r="G333" s="49" t="s">
        <v>160</v>
      </c>
    </row>
    <row r="334" spans="1:7" x14ac:dyDescent="0.3">
      <c r="A334" s="24" t="s">
        <v>230</v>
      </c>
      <c r="B334" s="24" t="s">
        <v>144</v>
      </c>
      <c r="C334" s="24" t="s">
        <v>25</v>
      </c>
      <c r="D334" s="25">
        <v>45572</v>
      </c>
      <c r="E334" s="25">
        <v>45572</v>
      </c>
      <c r="F334" s="52" t="s">
        <v>225</v>
      </c>
      <c r="G334" s="49" t="s">
        <v>159</v>
      </c>
    </row>
    <row r="335" spans="1:7" x14ac:dyDescent="0.3">
      <c r="A335" s="24" t="s">
        <v>230</v>
      </c>
      <c r="B335" s="24" t="s">
        <v>145</v>
      </c>
      <c r="C335" s="24" t="s">
        <v>25</v>
      </c>
      <c r="D335" s="25">
        <v>45588</v>
      </c>
      <c r="E335" s="25">
        <v>45588</v>
      </c>
      <c r="F335" s="52" t="s">
        <v>225</v>
      </c>
      <c r="G335" s="49" t="s">
        <v>204</v>
      </c>
    </row>
    <row r="336" spans="1:7" x14ac:dyDescent="0.3">
      <c r="A336" s="24" t="s">
        <v>230</v>
      </c>
      <c r="B336" s="24" t="s">
        <v>145</v>
      </c>
      <c r="C336" s="24" t="s">
        <v>25</v>
      </c>
      <c r="D336" s="25">
        <v>45601</v>
      </c>
      <c r="E336" s="25">
        <v>45601</v>
      </c>
      <c r="F336" s="52" t="s">
        <v>225</v>
      </c>
      <c r="G336" s="49" t="s">
        <v>216</v>
      </c>
    </row>
    <row r="337" spans="1:7" x14ac:dyDescent="0.3">
      <c r="A337" s="24" t="s">
        <v>230</v>
      </c>
      <c r="B337" s="24" t="s">
        <v>145</v>
      </c>
      <c r="C337" s="24" t="s">
        <v>25</v>
      </c>
      <c r="D337" s="25">
        <v>45616</v>
      </c>
      <c r="E337" s="25">
        <v>45616</v>
      </c>
      <c r="F337" s="38" t="s">
        <v>225</v>
      </c>
      <c r="G337" s="49" t="s">
        <v>215</v>
      </c>
    </row>
    <row r="338" spans="1:7" x14ac:dyDescent="0.3">
      <c r="A338" s="24" t="s">
        <v>230</v>
      </c>
      <c r="B338" s="24" t="s">
        <v>145</v>
      </c>
      <c r="C338" s="24" t="s">
        <v>25</v>
      </c>
      <c r="D338" s="25">
        <v>45616</v>
      </c>
      <c r="E338" s="25">
        <v>45616</v>
      </c>
      <c r="F338" s="38" t="s">
        <v>225</v>
      </c>
      <c r="G338" s="49" t="s">
        <v>162</v>
      </c>
    </row>
    <row r="339" spans="1:7" x14ac:dyDescent="0.3">
      <c r="A339" s="24" t="s">
        <v>230</v>
      </c>
      <c r="B339" s="24" t="s">
        <v>152</v>
      </c>
      <c r="C339" s="24" t="s">
        <v>25</v>
      </c>
      <c r="D339" s="25">
        <v>45617</v>
      </c>
      <c r="E339" s="25">
        <v>45617</v>
      </c>
      <c r="F339" s="52" t="s">
        <v>225</v>
      </c>
      <c r="G339" s="49" t="s">
        <v>206</v>
      </c>
    </row>
    <row r="340" spans="1:7" x14ac:dyDescent="0.3">
      <c r="A340" s="24" t="s">
        <v>230</v>
      </c>
      <c r="B340" s="24" t="s">
        <v>145</v>
      </c>
      <c r="C340" s="24" t="s">
        <v>25</v>
      </c>
      <c r="D340" s="25">
        <v>45630</v>
      </c>
      <c r="E340" s="25">
        <v>45630</v>
      </c>
      <c r="F340" s="52" t="s">
        <v>225</v>
      </c>
      <c r="G340" s="49" t="s">
        <v>239</v>
      </c>
    </row>
    <row r="341" spans="1:7" x14ac:dyDescent="0.3">
      <c r="A341" s="24" t="s">
        <v>230</v>
      </c>
      <c r="B341" s="24" t="s">
        <v>145</v>
      </c>
      <c r="C341" s="24" t="s">
        <v>25</v>
      </c>
      <c r="D341" s="25">
        <v>45638</v>
      </c>
      <c r="E341" s="25">
        <v>45638</v>
      </c>
      <c r="F341" s="52" t="s">
        <v>225</v>
      </c>
      <c r="G341" s="49" t="s">
        <v>275</v>
      </c>
    </row>
    <row r="342" spans="1:7" x14ac:dyDescent="0.3">
      <c r="A342" s="24" t="s">
        <v>230</v>
      </c>
      <c r="B342" s="24" t="s">
        <v>141</v>
      </c>
      <c r="C342" s="24" t="s">
        <v>25</v>
      </c>
      <c r="D342" s="25">
        <v>45639</v>
      </c>
      <c r="E342" s="25">
        <v>45646</v>
      </c>
      <c r="F342" s="52" t="s">
        <v>225</v>
      </c>
      <c r="G342" s="49" t="s">
        <v>277</v>
      </c>
    </row>
    <row r="343" spans="1:7" x14ac:dyDescent="0.3">
      <c r="A343" s="24" t="s">
        <v>230</v>
      </c>
      <c r="B343" s="24" t="s">
        <v>152</v>
      </c>
      <c r="C343" s="24" t="s">
        <v>25</v>
      </c>
      <c r="D343" s="25">
        <v>45673</v>
      </c>
      <c r="E343" s="25">
        <v>45673</v>
      </c>
      <c r="F343" s="52" t="s">
        <v>225</v>
      </c>
      <c r="G343" s="49" t="s">
        <v>283</v>
      </c>
    </row>
    <row r="344" spans="1:7" x14ac:dyDescent="0.3">
      <c r="A344" s="24" t="s">
        <v>231</v>
      </c>
      <c r="B344" s="24" t="s">
        <v>6</v>
      </c>
      <c r="C344" s="24" t="s">
        <v>7</v>
      </c>
      <c r="D344" s="25">
        <v>45670</v>
      </c>
      <c r="E344" s="25">
        <v>45709</v>
      </c>
      <c r="F344" s="52" t="s">
        <v>8</v>
      </c>
      <c r="G344" s="49"/>
    </row>
    <row r="345" spans="1:7" x14ac:dyDescent="0.3">
      <c r="A345" s="24" t="s">
        <v>231</v>
      </c>
      <c r="B345" s="24" t="s">
        <v>11</v>
      </c>
      <c r="C345" s="24" t="s">
        <v>14</v>
      </c>
      <c r="D345" s="25">
        <v>45677</v>
      </c>
      <c r="E345" s="25">
        <v>45709</v>
      </c>
      <c r="F345" s="49" t="s">
        <v>75</v>
      </c>
      <c r="G345" s="49"/>
    </row>
    <row r="346" spans="1:7" x14ac:dyDescent="0.3">
      <c r="A346" s="24" t="s">
        <v>231</v>
      </c>
      <c r="B346" s="24" t="s">
        <v>21</v>
      </c>
      <c r="C346" s="24" t="s">
        <v>22</v>
      </c>
      <c r="D346" s="25">
        <v>45663</v>
      </c>
      <c r="E346" s="25">
        <v>45674</v>
      </c>
      <c r="F346" s="52" t="s">
        <v>28</v>
      </c>
      <c r="G346" s="49" t="s">
        <v>278</v>
      </c>
    </row>
    <row r="347" spans="1:7" x14ac:dyDescent="0.3">
      <c r="A347" s="24" t="s">
        <v>231</v>
      </c>
      <c r="B347" s="24" t="s">
        <v>21</v>
      </c>
      <c r="C347" s="24" t="s">
        <v>29</v>
      </c>
      <c r="D347" s="25">
        <v>45684</v>
      </c>
      <c r="E347" s="25">
        <v>45729</v>
      </c>
      <c r="F347" s="52" t="s">
        <v>111</v>
      </c>
      <c r="G347" s="49"/>
    </row>
    <row r="348" spans="1:7" x14ac:dyDescent="0.3">
      <c r="A348" s="24" t="s">
        <v>231</v>
      </c>
      <c r="B348" s="24" t="s">
        <v>26</v>
      </c>
      <c r="C348" s="24" t="s">
        <v>27</v>
      </c>
      <c r="D348" s="25">
        <v>45691</v>
      </c>
      <c r="E348" s="25">
        <v>45702</v>
      </c>
      <c r="F348" s="52" t="s">
        <v>31</v>
      </c>
      <c r="G348" s="49"/>
    </row>
    <row r="349" spans="1:7" x14ac:dyDescent="0.3">
      <c r="A349" s="24" t="s">
        <v>231</v>
      </c>
      <c r="B349" s="24" t="s">
        <v>144</v>
      </c>
      <c r="C349" s="24" t="s">
        <v>25</v>
      </c>
      <c r="D349" s="25">
        <v>45699</v>
      </c>
      <c r="E349" s="25">
        <v>45699</v>
      </c>
      <c r="F349" s="52" t="s">
        <v>225</v>
      </c>
      <c r="G349" s="49" t="s">
        <v>290</v>
      </c>
    </row>
    <row r="350" spans="1:7" x14ac:dyDescent="0.3">
      <c r="A350" s="24" t="s">
        <v>231</v>
      </c>
      <c r="B350" s="24" t="s">
        <v>145</v>
      </c>
      <c r="C350" s="24" t="s">
        <v>25</v>
      </c>
      <c r="D350" s="25">
        <v>45727</v>
      </c>
      <c r="E350" s="25">
        <v>45727</v>
      </c>
      <c r="F350" s="52" t="s">
        <v>225</v>
      </c>
      <c r="G350" s="49" t="s">
        <v>308</v>
      </c>
    </row>
    <row r="351" spans="1:7" x14ac:dyDescent="0.3">
      <c r="A351" s="24" t="s">
        <v>231</v>
      </c>
      <c r="B351" s="24" t="s">
        <v>152</v>
      </c>
      <c r="C351" s="24" t="s">
        <v>25</v>
      </c>
      <c r="D351" s="25">
        <v>45747</v>
      </c>
      <c r="E351" s="25">
        <v>45747</v>
      </c>
      <c r="F351" s="52" t="s">
        <v>225</v>
      </c>
      <c r="G351" s="49" t="s">
        <v>314</v>
      </c>
    </row>
    <row r="352" spans="1:7" x14ac:dyDescent="0.3">
      <c r="A352" s="24" t="s">
        <v>602</v>
      </c>
      <c r="B352" s="24" t="s">
        <v>6</v>
      </c>
      <c r="C352" s="24" t="s">
        <v>7</v>
      </c>
      <c r="D352" s="25">
        <v>45939</v>
      </c>
      <c r="E352" s="25">
        <v>45961</v>
      </c>
      <c r="F352" s="52" t="s">
        <v>8</v>
      </c>
      <c r="G352" s="49"/>
    </row>
    <row r="353" spans="1:7" x14ac:dyDescent="0.3">
      <c r="A353" s="24" t="s">
        <v>602</v>
      </c>
      <c r="B353" s="24" t="s">
        <v>11</v>
      </c>
      <c r="C353" s="24" t="s">
        <v>14</v>
      </c>
      <c r="D353" s="25">
        <v>45939</v>
      </c>
      <c r="E353" s="25">
        <v>45961</v>
      </c>
      <c r="F353" s="52" t="s">
        <v>75</v>
      </c>
      <c r="G353" s="49"/>
    </row>
    <row r="354" spans="1:7" x14ac:dyDescent="0.3">
      <c r="A354" s="24" t="s">
        <v>602</v>
      </c>
      <c r="B354" s="24" t="s">
        <v>80</v>
      </c>
      <c r="C354" s="24" t="s">
        <v>10</v>
      </c>
      <c r="D354" s="25">
        <v>45964</v>
      </c>
      <c r="E354" s="25">
        <v>45975</v>
      </c>
      <c r="F354" s="52" t="s">
        <v>101</v>
      </c>
      <c r="G354" s="49"/>
    </row>
    <row r="355" spans="1:7" x14ac:dyDescent="0.3">
      <c r="A355" s="24" t="s">
        <v>602</v>
      </c>
      <c r="B355" s="24" t="s">
        <v>21</v>
      </c>
      <c r="C355" s="24" t="s">
        <v>22</v>
      </c>
      <c r="D355" s="25">
        <v>45964</v>
      </c>
      <c r="E355" s="25">
        <v>45975</v>
      </c>
      <c r="F355" s="52" t="s">
        <v>28</v>
      </c>
      <c r="G355" s="49" t="s">
        <v>586</v>
      </c>
    </row>
    <row r="356" spans="1:7" x14ac:dyDescent="0.3">
      <c r="A356" s="24" t="s">
        <v>602</v>
      </c>
      <c r="B356" s="24" t="s">
        <v>26</v>
      </c>
      <c r="C356" s="24" t="s">
        <v>27</v>
      </c>
      <c r="D356" s="25">
        <v>45973</v>
      </c>
      <c r="E356" s="25">
        <v>45979</v>
      </c>
      <c r="F356" s="52" t="s">
        <v>31</v>
      </c>
      <c r="G356" s="49" t="s">
        <v>527</v>
      </c>
    </row>
    <row r="357" spans="1:7" x14ac:dyDescent="0.3">
      <c r="A357" s="24" t="s">
        <v>602</v>
      </c>
      <c r="B357" s="24" t="s">
        <v>145</v>
      </c>
      <c r="C357" s="24" t="s">
        <v>25</v>
      </c>
      <c r="D357" s="25">
        <v>45979</v>
      </c>
      <c r="E357" s="25">
        <v>45979</v>
      </c>
      <c r="F357" s="52" t="s">
        <v>225</v>
      </c>
      <c r="G357" s="49" t="s">
        <v>582</v>
      </c>
    </row>
    <row r="358" spans="1:7" x14ac:dyDescent="0.3">
      <c r="A358" s="24" t="s">
        <v>168</v>
      </c>
      <c r="B358" s="24" t="s">
        <v>6</v>
      </c>
      <c r="C358" s="24" t="s">
        <v>7</v>
      </c>
      <c r="D358" s="25">
        <v>45628</v>
      </c>
      <c r="E358" s="25">
        <v>45744</v>
      </c>
      <c r="F358" s="52" t="s">
        <v>8</v>
      </c>
      <c r="G358" s="49"/>
    </row>
    <row r="359" spans="1:7" x14ac:dyDescent="0.3">
      <c r="A359" s="24" t="s">
        <v>168</v>
      </c>
      <c r="B359" s="24" t="s">
        <v>11</v>
      </c>
      <c r="C359" s="24" t="s">
        <v>78</v>
      </c>
      <c r="D359" s="25">
        <v>45628</v>
      </c>
      <c r="E359" s="25">
        <v>45646</v>
      </c>
      <c r="F359" s="52" t="s">
        <v>13</v>
      </c>
      <c r="G359" s="49" t="s">
        <v>235</v>
      </c>
    </row>
    <row r="360" spans="1:7" x14ac:dyDescent="0.3">
      <c r="A360" s="24" t="s">
        <v>168</v>
      </c>
      <c r="B360" s="24" t="s">
        <v>11</v>
      </c>
      <c r="C360" s="24" t="s">
        <v>78</v>
      </c>
      <c r="D360" s="25">
        <v>45649</v>
      </c>
      <c r="E360" s="25">
        <v>45758</v>
      </c>
      <c r="F360" s="52" t="s">
        <v>13</v>
      </c>
      <c r="G360" s="49" t="s">
        <v>248</v>
      </c>
    </row>
    <row r="361" spans="1:7" x14ac:dyDescent="0.3">
      <c r="A361" s="24" t="s">
        <v>168</v>
      </c>
      <c r="B361" s="24" t="s">
        <v>15</v>
      </c>
      <c r="C361" s="24" t="s">
        <v>222</v>
      </c>
      <c r="D361" s="25">
        <v>45672</v>
      </c>
      <c r="E361" s="25">
        <v>45786</v>
      </c>
      <c r="F361" s="52" t="s">
        <v>20</v>
      </c>
      <c r="G361" s="49"/>
    </row>
    <row r="362" spans="1:7" x14ac:dyDescent="0.3">
      <c r="A362" s="24" t="s">
        <v>168</v>
      </c>
      <c r="B362" s="24" t="s">
        <v>19</v>
      </c>
      <c r="C362" s="24" t="s">
        <v>18</v>
      </c>
      <c r="D362" s="25">
        <v>45698</v>
      </c>
      <c r="E362" s="25">
        <v>45758</v>
      </c>
      <c r="F362" s="50" t="s">
        <v>98</v>
      </c>
      <c r="G362" s="49"/>
    </row>
    <row r="363" spans="1:7" x14ac:dyDescent="0.3">
      <c r="A363" s="45" t="s">
        <v>168</v>
      </c>
      <c r="B363" s="45" t="s">
        <v>21</v>
      </c>
      <c r="C363" s="45" t="s">
        <v>22</v>
      </c>
      <c r="D363" s="46">
        <v>45705</v>
      </c>
      <c r="E363" s="46">
        <v>45758</v>
      </c>
      <c r="F363" s="50" t="s">
        <v>28</v>
      </c>
      <c r="G363" s="51"/>
    </row>
    <row r="364" spans="1:7" x14ac:dyDescent="0.3">
      <c r="A364" s="24" t="s">
        <v>168</v>
      </c>
      <c r="B364" s="24" t="s">
        <v>21</v>
      </c>
      <c r="C364" s="24" t="s">
        <v>22</v>
      </c>
      <c r="D364" s="25">
        <v>45775</v>
      </c>
      <c r="E364" s="25">
        <v>45793</v>
      </c>
      <c r="F364" s="52" t="s">
        <v>28</v>
      </c>
      <c r="G364" s="49"/>
    </row>
    <row r="365" spans="1:7" x14ac:dyDescent="0.3">
      <c r="A365" s="24" t="s">
        <v>168</v>
      </c>
      <c r="B365" s="24" t="s">
        <v>145</v>
      </c>
      <c r="C365" s="24" t="s">
        <v>25</v>
      </c>
      <c r="D365" s="25">
        <v>45761</v>
      </c>
      <c r="E365" s="25">
        <v>45761</v>
      </c>
      <c r="F365" s="52" t="s">
        <v>225</v>
      </c>
      <c r="G365" s="49" t="s">
        <v>332</v>
      </c>
    </row>
    <row r="366" spans="1:7" x14ac:dyDescent="0.3">
      <c r="A366" s="24" t="s">
        <v>168</v>
      </c>
      <c r="B366" s="24" t="s">
        <v>152</v>
      </c>
      <c r="C366" s="24" t="s">
        <v>25</v>
      </c>
      <c r="D366" s="25">
        <v>45789</v>
      </c>
      <c r="E366" s="25">
        <v>45789</v>
      </c>
      <c r="F366" s="52" t="s">
        <v>225</v>
      </c>
      <c r="G366" s="49" t="s">
        <v>362</v>
      </c>
    </row>
    <row r="367" spans="1:7" x14ac:dyDescent="0.3">
      <c r="A367" s="24" t="s">
        <v>418</v>
      </c>
      <c r="B367" s="24" t="s">
        <v>80</v>
      </c>
      <c r="C367" s="24" t="s">
        <v>10</v>
      </c>
      <c r="D367" s="25">
        <v>45832</v>
      </c>
      <c r="E367" s="25">
        <v>45842</v>
      </c>
      <c r="F367" s="52" t="s">
        <v>101</v>
      </c>
      <c r="G367" s="49"/>
    </row>
    <row r="368" spans="1:7" x14ac:dyDescent="0.3">
      <c r="A368" s="24" t="s">
        <v>418</v>
      </c>
      <c r="B368" s="24" t="s">
        <v>21</v>
      </c>
      <c r="C368" s="24" t="s">
        <v>22</v>
      </c>
      <c r="D368" s="25">
        <v>45832</v>
      </c>
      <c r="E368" s="25">
        <v>45842</v>
      </c>
      <c r="F368" s="52" t="s">
        <v>28</v>
      </c>
      <c r="G368" s="49"/>
    </row>
    <row r="369" spans="1:7" x14ac:dyDescent="0.3">
      <c r="A369" s="24" t="s">
        <v>418</v>
      </c>
      <c r="B369" s="24" t="s">
        <v>145</v>
      </c>
      <c r="C369" s="24" t="s">
        <v>25</v>
      </c>
      <c r="D369" s="25">
        <v>45846</v>
      </c>
      <c r="E369" s="25">
        <v>45846</v>
      </c>
      <c r="F369" s="52" t="s">
        <v>225</v>
      </c>
      <c r="G369" s="49"/>
    </row>
    <row r="370" spans="1:7" x14ac:dyDescent="0.3">
      <c r="A370" s="24" t="s">
        <v>584</v>
      </c>
      <c r="B370" s="24" t="s">
        <v>6</v>
      </c>
      <c r="C370" s="24" t="s">
        <v>7</v>
      </c>
      <c r="D370" s="25">
        <v>45939</v>
      </c>
      <c r="E370" s="25">
        <v>45961</v>
      </c>
      <c r="F370" s="52" t="s">
        <v>8</v>
      </c>
      <c r="G370" s="49"/>
    </row>
    <row r="371" spans="1:7" x14ac:dyDescent="0.3">
      <c r="A371" s="24" t="s">
        <v>584</v>
      </c>
      <c r="B371" s="24" t="s">
        <v>11</v>
      </c>
      <c r="C371" s="24" t="s">
        <v>14</v>
      </c>
      <c r="D371" s="25">
        <v>45939</v>
      </c>
      <c r="E371" s="25">
        <v>45961</v>
      </c>
      <c r="F371" s="52" t="s">
        <v>75</v>
      </c>
      <c r="G371" s="49"/>
    </row>
    <row r="372" spans="1:7" x14ac:dyDescent="0.3">
      <c r="A372" s="24" t="s">
        <v>584</v>
      </c>
      <c r="B372" s="24" t="s">
        <v>80</v>
      </c>
      <c r="C372" s="24" t="s">
        <v>10</v>
      </c>
      <c r="D372" s="25">
        <v>45964</v>
      </c>
      <c r="E372" s="25">
        <v>45975</v>
      </c>
      <c r="F372" s="52" t="s">
        <v>101</v>
      </c>
      <c r="G372" s="49" t="s">
        <v>586</v>
      </c>
    </row>
    <row r="373" spans="1:7" x14ac:dyDescent="0.3">
      <c r="A373" s="24" t="s">
        <v>584</v>
      </c>
      <c r="B373" s="24" t="s">
        <v>21</v>
      </c>
      <c r="C373" s="24" t="s">
        <v>22</v>
      </c>
      <c r="D373" s="25">
        <v>45964</v>
      </c>
      <c r="E373" s="25">
        <v>45975</v>
      </c>
      <c r="F373" s="52" t="s">
        <v>28</v>
      </c>
      <c r="G373" s="49"/>
    </row>
    <row r="374" spans="1:7" x14ac:dyDescent="0.3">
      <c r="A374" s="24" t="s">
        <v>584</v>
      </c>
      <c r="B374" s="24" t="s">
        <v>26</v>
      </c>
      <c r="C374" s="24" t="s">
        <v>27</v>
      </c>
      <c r="D374" s="25">
        <v>45973</v>
      </c>
      <c r="E374" s="25">
        <v>45979</v>
      </c>
      <c r="F374" s="52" t="s">
        <v>31</v>
      </c>
      <c r="G374" s="49" t="s">
        <v>527</v>
      </c>
    </row>
    <row r="375" spans="1:7" x14ac:dyDescent="0.3">
      <c r="A375" s="24" t="s">
        <v>584</v>
      </c>
      <c r="B375" s="24" t="s">
        <v>145</v>
      </c>
      <c r="C375" s="24" t="s">
        <v>25</v>
      </c>
      <c r="D375" s="25">
        <v>45979</v>
      </c>
      <c r="E375" s="25">
        <v>45979</v>
      </c>
      <c r="F375" s="52" t="s">
        <v>225</v>
      </c>
      <c r="G375" s="49" t="s">
        <v>540</v>
      </c>
    </row>
    <row r="376" spans="1:7" x14ac:dyDescent="0.3">
      <c r="A376" s="24" t="s">
        <v>391</v>
      </c>
      <c r="B376" s="24" t="s">
        <v>6</v>
      </c>
      <c r="C376" s="24" t="s">
        <v>7</v>
      </c>
      <c r="D376" s="25">
        <v>45831</v>
      </c>
      <c r="E376" s="25">
        <v>45926</v>
      </c>
      <c r="F376" s="52" t="s">
        <v>8</v>
      </c>
      <c r="G376" s="49"/>
    </row>
    <row r="377" spans="1:7" x14ac:dyDescent="0.3">
      <c r="A377" s="24" t="s">
        <v>391</v>
      </c>
      <c r="B377" s="24" t="s">
        <v>11</v>
      </c>
      <c r="C377" s="24" t="s">
        <v>78</v>
      </c>
      <c r="D377" s="25">
        <v>45838</v>
      </c>
      <c r="E377" s="25">
        <v>45926</v>
      </c>
      <c r="F377" s="52" t="s">
        <v>13</v>
      </c>
      <c r="G377" s="49"/>
    </row>
    <row r="378" spans="1:7" x14ac:dyDescent="0.3">
      <c r="A378" s="24" t="s">
        <v>391</v>
      </c>
      <c r="B378" s="24" t="s">
        <v>15</v>
      </c>
      <c r="C378" s="24" t="s">
        <v>16</v>
      </c>
      <c r="D378" s="25">
        <v>45845</v>
      </c>
      <c r="E378" s="25">
        <v>45933</v>
      </c>
      <c r="F378" s="52" t="s">
        <v>17</v>
      </c>
      <c r="G378" s="49"/>
    </row>
    <row r="379" spans="1:7" x14ac:dyDescent="0.3">
      <c r="A379" s="24" t="s">
        <v>391</v>
      </c>
      <c r="B379" s="24" t="s">
        <v>19</v>
      </c>
      <c r="C379" s="24" t="s">
        <v>18</v>
      </c>
      <c r="D379" s="25">
        <v>45853</v>
      </c>
      <c r="E379" s="25">
        <v>45933</v>
      </c>
      <c r="F379" s="52" t="s">
        <v>98</v>
      </c>
      <c r="G379" s="49"/>
    </row>
    <row r="380" spans="1:7" x14ac:dyDescent="0.3">
      <c r="A380" s="24" t="s">
        <v>391</v>
      </c>
      <c r="B380" s="24" t="s">
        <v>21</v>
      </c>
      <c r="C380" s="24" t="s">
        <v>22</v>
      </c>
      <c r="D380" s="25">
        <v>45880</v>
      </c>
      <c r="E380" s="25">
        <v>45940</v>
      </c>
      <c r="F380" s="52" t="s">
        <v>28</v>
      </c>
      <c r="G380" s="49"/>
    </row>
    <row r="381" spans="1:7" x14ac:dyDescent="0.3">
      <c r="A381" s="24" t="s">
        <v>391</v>
      </c>
      <c r="B381" s="24" t="s">
        <v>26</v>
      </c>
      <c r="C381" s="24" t="s">
        <v>27</v>
      </c>
      <c r="D381" s="25">
        <v>45908</v>
      </c>
      <c r="E381" s="25">
        <v>45940</v>
      </c>
      <c r="F381" s="52" t="s">
        <v>31</v>
      </c>
      <c r="G381" s="49"/>
    </row>
    <row r="382" spans="1:7" x14ac:dyDescent="0.3">
      <c r="A382" s="24" t="s">
        <v>391</v>
      </c>
      <c r="B382" s="24" t="s">
        <v>145</v>
      </c>
      <c r="C382" s="24" t="s">
        <v>25</v>
      </c>
      <c r="D382" s="25">
        <v>45943</v>
      </c>
      <c r="E382" s="25">
        <v>45943</v>
      </c>
      <c r="F382" s="52" t="s">
        <v>225</v>
      </c>
      <c r="G382" s="49" t="s">
        <v>437</v>
      </c>
    </row>
    <row r="383" spans="1:7" x14ac:dyDescent="0.3">
      <c r="A383" s="2" t="s">
        <v>462</v>
      </c>
      <c r="B383" s="2" t="s">
        <v>6</v>
      </c>
      <c r="C383" s="2" t="s">
        <v>7</v>
      </c>
      <c r="D383" s="4">
        <v>45908</v>
      </c>
      <c r="E383" s="4">
        <v>45982</v>
      </c>
      <c r="F383" s="38" t="s">
        <v>8</v>
      </c>
      <c r="G383" s="36" t="s">
        <v>465</v>
      </c>
    </row>
    <row r="384" spans="1:7" x14ac:dyDescent="0.3">
      <c r="A384" s="2" t="s">
        <v>462</v>
      </c>
      <c r="B384" s="2" t="s">
        <v>11</v>
      </c>
      <c r="C384" s="2" t="s">
        <v>14</v>
      </c>
      <c r="D384" s="4">
        <v>45915</v>
      </c>
      <c r="E384" s="4">
        <v>45982</v>
      </c>
      <c r="F384" s="38" t="s">
        <v>75</v>
      </c>
      <c r="G384" s="36" t="s">
        <v>465</v>
      </c>
    </row>
    <row r="385" spans="1:7" x14ac:dyDescent="0.3">
      <c r="A385" s="2" t="s">
        <v>462</v>
      </c>
      <c r="B385" s="2" t="s">
        <v>80</v>
      </c>
      <c r="C385" s="2" t="s">
        <v>10</v>
      </c>
      <c r="D385" s="4">
        <v>45978</v>
      </c>
      <c r="E385" s="4">
        <v>45996</v>
      </c>
      <c r="F385" s="38" t="s">
        <v>101</v>
      </c>
      <c r="G385" s="36" t="s">
        <v>551</v>
      </c>
    </row>
    <row r="386" spans="1:7" x14ac:dyDescent="0.3">
      <c r="A386" s="2" t="s">
        <v>462</v>
      </c>
      <c r="B386" s="2" t="s">
        <v>21</v>
      </c>
      <c r="C386" s="2" t="s">
        <v>22</v>
      </c>
      <c r="D386" s="4">
        <v>45992</v>
      </c>
      <c r="E386" s="4">
        <v>45996</v>
      </c>
      <c r="F386" s="38" t="s">
        <v>28</v>
      </c>
      <c r="G386" s="36" t="s">
        <v>554</v>
      </c>
    </row>
    <row r="387" spans="1:7" x14ac:dyDescent="0.3">
      <c r="A387" s="2" t="s">
        <v>462</v>
      </c>
      <c r="B387" s="2" t="s">
        <v>21</v>
      </c>
      <c r="C387" s="2" t="s">
        <v>22</v>
      </c>
      <c r="D387" s="4">
        <v>45999</v>
      </c>
      <c r="E387" s="4">
        <v>46038</v>
      </c>
      <c r="F387" s="38" t="s">
        <v>28</v>
      </c>
      <c r="G387" s="36" t="s">
        <v>555</v>
      </c>
    </row>
    <row r="388" spans="1:7" x14ac:dyDescent="0.3">
      <c r="A388" s="2" t="s">
        <v>462</v>
      </c>
      <c r="B388" s="2" t="s">
        <v>21</v>
      </c>
      <c r="C388" s="2" t="s">
        <v>29</v>
      </c>
      <c r="D388" s="4">
        <v>46041</v>
      </c>
      <c r="E388" s="4">
        <v>46059</v>
      </c>
      <c r="F388" s="38" t="s">
        <v>111</v>
      </c>
      <c r="G388" s="36" t="s">
        <v>556</v>
      </c>
    </row>
    <row r="389" spans="1:7" x14ac:dyDescent="0.3">
      <c r="A389" s="2" t="s">
        <v>462</v>
      </c>
      <c r="B389" s="2" t="s">
        <v>26</v>
      </c>
      <c r="C389" s="2" t="s">
        <v>27</v>
      </c>
      <c r="D389" s="4">
        <v>46034</v>
      </c>
      <c r="E389" s="4">
        <v>46042</v>
      </c>
      <c r="F389" s="38" t="s">
        <v>31</v>
      </c>
      <c r="G389" s="36" t="s">
        <v>473</v>
      </c>
    </row>
    <row r="390" spans="1:7" x14ac:dyDescent="0.3">
      <c r="A390" s="2" t="s">
        <v>462</v>
      </c>
      <c r="B390" s="2" t="s">
        <v>26</v>
      </c>
      <c r="C390" s="2" t="s">
        <v>27</v>
      </c>
      <c r="D390" s="4">
        <v>46062</v>
      </c>
      <c r="E390" s="4">
        <v>46070</v>
      </c>
      <c r="F390" s="38" t="s">
        <v>31</v>
      </c>
      <c r="G390" s="36" t="s">
        <v>472</v>
      </c>
    </row>
    <row r="391" spans="1:7" x14ac:dyDescent="0.3">
      <c r="A391" s="2" t="s">
        <v>462</v>
      </c>
      <c r="B391" s="2" t="s">
        <v>145</v>
      </c>
      <c r="C391" s="2" t="s">
        <v>25</v>
      </c>
      <c r="D391" s="4">
        <v>46042</v>
      </c>
      <c r="E391" s="4">
        <v>46042</v>
      </c>
      <c r="F391" s="38" t="s">
        <v>225</v>
      </c>
      <c r="G391" s="36" t="s">
        <v>557</v>
      </c>
    </row>
    <row r="392" spans="1:7" x14ac:dyDescent="0.3">
      <c r="A392" s="2" t="s">
        <v>462</v>
      </c>
      <c r="B392" s="2" t="s">
        <v>145</v>
      </c>
      <c r="C392" s="2" t="s">
        <v>25</v>
      </c>
      <c r="D392" s="4">
        <v>46070</v>
      </c>
      <c r="E392" s="4">
        <v>46070</v>
      </c>
      <c r="F392" s="38" t="s">
        <v>225</v>
      </c>
      <c r="G392" s="36" t="s">
        <v>466</v>
      </c>
    </row>
    <row r="393" spans="1:7" x14ac:dyDescent="0.3">
      <c r="A393" s="2" t="s">
        <v>604</v>
      </c>
      <c r="B393" s="2" t="s">
        <v>11</v>
      </c>
      <c r="C393" s="2" t="s">
        <v>14</v>
      </c>
      <c r="D393" s="4">
        <v>45978</v>
      </c>
      <c r="E393" s="4">
        <v>45982</v>
      </c>
      <c r="F393" s="38" t="s">
        <v>75</v>
      </c>
      <c r="G393" s="36"/>
    </row>
    <row r="394" spans="1:7" x14ac:dyDescent="0.3">
      <c r="A394" s="2" t="s">
        <v>604</v>
      </c>
      <c r="B394" s="2" t="s">
        <v>80</v>
      </c>
      <c r="C394" s="2" t="s">
        <v>10</v>
      </c>
      <c r="D394" s="4">
        <v>45985</v>
      </c>
      <c r="E394" s="4">
        <v>45996</v>
      </c>
      <c r="F394" s="38" t="s">
        <v>101</v>
      </c>
      <c r="G394" s="36"/>
    </row>
    <row r="395" spans="1:7" x14ac:dyDescent="0.3">
      <c r="A395" s="2" t="s">
        <v>604</v>
      </c>
      <c r="B395" s="2" t="s">
        <v>21</v>
      </c>
      <c r="C395" s="2" t="s">
        <v>22</v>
      </c>
      <c r="D395" s="4">
        <v>45985</v>
      </c>
      <c r="E395" s="4">
        <v>45996</v>
      </c>
      <c r="F395" s="38" t="s">
        <v>28</v>
      </c>
      <c r="G395" s="36"/>
    </row>
    <row r="396" spans="1:7" x14ac:dyDescent="0.3">
      <c r="A396" s="2" t="s">
        <v>604</v>
      </c>
      <c r="B396" s="2" t="s">
        <v>26</v>
      </c>
      <c r="C396" s="2" t="s">
        <v>27</v>
      </c>
      <c r="D396" s="4">
        <v>45994</v>
      </c>
      <c r="E396" s="4">
        <v>46000</v>
      </c>
      <c r="F396" s="38" t="s">
        <v>31</v>
      </c>
      <c r="G396" s="36"/>
    </row>
    <row r="397" spans="1:7" x14ac:dyDescent="0.3">
      <c r="A397" s="2" t="s">
        <v>604</v>
      </c>
      <c r="B397" s="2" t="s">
        <v>145</v>
      </c>
      <c r="C397" s="2" t="s">
        <v>25</v>
      </c>
      <c r="D397" s="4">
        <v>46000</v>
      </c>
      <c r="E397" s="4">
        <v>46000</v>
      </c>
      <c r="F397" s="38" t="s">
        <v>225</v>
      </c>
      <c r="G397" s="36" t="s">
        <v>613</v>
      </c>
    </row>
    <row r="398" spans="1:7" x14ac:dyDescent="0.3">
      <c r="A398" s="24" t="s">
        <v>574</v>
      </c>
      <c r="B398" s="24" t="s">
        <v>6</v>
      </c>
      <c r="C398" s="24" t="s">
        <v>7</v>
      </c>
      <c r="D398" s="25">
        <v>45943</v>
      </c>
      <c r="E398" s="25">
        <v>45954</v>
      </c>
      <c r="F398" s="52" t="s">
        <v>8</v>
      </c>
      <c r="G398" s="49"/>
    </row>
    <row r="399" spans="1:7" x14ac:dyDescent="0.3">
      <c r="A399" s="24" t="s">
        <v>574</v>
      </c>
      <c r="B399" s="24" t="s">
        <v>11</v>
      </c>
      <c r="C399" s="24" t="s">
        <v>14</v>
      </c>
      <c r="D399" s="25">
        <v>45943</v>
      </c>
      <c r="E399" s="25">
        <v>45954</v>
      </c>
      <c r="F399" s="52" t="s">
        <v>75</v>
      </c>
      <c r="G399" s="49"/>
    </row>
    <row r="400" spans="1:7" x14ac:dyDescent="0.3">
      <c r="A400" s="24" t="s">
        <v>574</v>
      </c>
      <c r="B400" s="24" t="s">
        <v>80</v>
      </c>
      <c r="C400" s="24" t="s">
        <v>10</v>
      </c>
      <c r="D400" s="25">
        <v>45957</v>
      </c>
      <c r="E400" s="25">
        <v>45961</v>
      </c>
      <c r="F400" s="52" t="s">
        <v>101</v>
      </c>
      <c r="G400" s="49" t="s">
        <v>528</v>
      </c>
    </row>
    <row r="401" spans="1:7" x14ac:dyDescent="0.3">
      <c r="A401" s="24" t="s">
        <v>574</v>
      </c>
      <c r="B401" s="24" t="s">
        <v>21</v>
      </c>
      <c r="C401" s="24" t="s">
        <v>22</v>
      </c>
      <c r="D401" s="25">
        <v>45957</v>
      </c>
      <c r="E401" s="25">
        <v>45975</v>
      </c>
      <c r="F401" s="52" t="s">
        <v>28</v>
      </c>
      <c r="G401" s="49"/>
    </row>
    <row r="402" spans="1:7" x14ac:dyDescent="0.3">
      <c r="A402" s="24" t="s">
        <v>574</v>
      </c>
      <c r="B402" s="24" t="s">
        <v>26</v>
      </c>
      <c r="C402" s="24" t="s">
        <v>27</v>
      </c>
      <c r="D402" s="25">
        <v>45973</v>
      </c>
      <c r="E402" s="25">
        <v>45979</v>
      </c>
      <c r="F402" s="52" t="s">
        <v>31</v>
      </c>
      <c r="G402" s="49" t="s">
        <v>479</v>
      </c>
    </row>
    <row r="403" spans="1:7" x14ac:dyDescent="0.3">
      <c r="A403" s="24" t="s">
        <v>574</v>
      </c>
      <c r="B403" s="24" t="s">
        <v>145</v>
      </c>
      <c r="C403" s="24" t="s">
        <v>25</v>
      </c>
      <c r="D403" s="25">
        <v>45979</v>
      </c>
      <c r="E403" s="25">
        <v>45979</v>
      </c>
      <c r="F403" s="52" t="s">
        <v>225</v>
      </c>
      <c r="G403" s="49" t="s">
        <v>423</v>
      </c>
    </row>
    <row r="404" spans="1:7" x14ac:dyDescent="0.3">
      <c r="A404" s="24" t="s">
        <v>155</v>
      </c>
      <c r="B404" s="24" t="s">
        <v>6</v>
      </c>
      <c r="C404" s="24" t="s">
        <v>7</v>
      </c>
      <c r="D404" s="25">
        <v>45565</v>
      </c>
      <c r="E404" s="25">
        <v>45657</v>
      </c>
      <c r="F404" s="52" t="s">
        <v>8</v>
      </c>
      <c r="G404" s="49"/>
    </row>
    <row r="405" spans="1:7" x14ac:dyDescent="0.3">
      <c r="A405" s="24" t="s">
        <v>155</v>
      </c>
      <c r="B405" s="24" t="s">
        <v>11</v>
      </c>
      <c r="C405" s="24" t="s">
        <v>14</v>
      </c>
      <c r="D405" s="25">
        <v>45586</v>
      </c>
      <c r="E405" s="25">
        <v>45657</v>
      </c>
      <c r="F405" s="52" t="s">
        <v>75</v>
      </c>
      <c r="G405" s="49"/>
    </row>
    <row r="406" spans="1:7" x14ac:dyDescent="0.3">
      <c r="A406" s="24" t="s">
        <v>155</v>
      </c>
      <c r="B406" s="24" t="s">
        <v>21</v>
      </c>
      <c r="C406" s="24" t="s">
        <v>22</v>
      </c>
      <c r="D406" s="25">
        <v>45628</v>
      </c>
      <c r="E406" s="25">
        <v>45657</v>
      </c>
      <c r="F406" s="52" t="s">
        <v>28</v>
      </c>
      <c r="G406" s="49"/>
    </row>
    <row r="407" spans="1:7" x14ac:dyDescent="0.3">
      <c r="A407" s="24" t="s">
        <v>155</v>
      </c>
      <c r="B407" s="24" t="s">
        <v>145</v>
      </c>
      <c r="C407" s="24" t="s">
        <v>25</v>
      </c>
      <c r="D407" s="25">
        <v>45679</v>
      </c>
      <c r="E407" s="25">
        <v>45679</v>
      </c>
      <c r="F407" s="52" t="s">
        <v>225</v>
      </c>
      <c r="G407" s="49" t="s">
        <v>287</v>
      </c>
    </row>
    <row r="408" spans="1:7" x14ac:dyDescent="0.3">
      <c r="A408" s="24" t="s">
        <v>156</v>
      </c>
      <c r="B408" s="24" t="s">
        <v>6</v>
      </c>
      <c r="C408" s="24" t="s">
        <v>7</v>
      </c>
      <c r="D408" s="25">
        <v>45565</v>
      </c>
      <c r="E408" s="25">
        <v>45657</v>
      </c>
      <c r="F408" s="52" t="s">
        <v>8</v>
      </c>
      <c r="G408" s="49"/>
    </row>
    <row r="409" spans="1:7" x14ac:dyDescent="0.3">
      <c r="A409" s="24" t="s">
        <v>156</v>
      </c>
      <c r="B409" s="24" t="s">
        <v>11</v>
      </c>
      <c r="C409" s="24" t="s">
        <v>14</v>
      </c>
      <c r="D409" s="25">
        <v>45586</v>
      </c>
      <c r="E409" s="25">
        <v>45657</v>
      </c>
      <c r="F409" s="52" t="s">
        <v>75</v>
      </c>
      <c r="G409" s="49"/>
    </row>
    <row r="410" spans="1:7" x14ac:dyDescent="0.3">
      <c r="A410" s="24" t="s">
        <v>156</v>
      </c>
      <c r="B410" s="24" t="s">
        <v>80</v>
      </c>
      <c r="C410" s="24" t="s">
        <v>10</v>
      </c>
      <c r="D410" s="25">
        <v>45586</v>
      </c>
      <c r="E410" s="25">
        <v>45657</v>
      </c>
      <c r="F410" s="52" t="s">
        <v>101</v>
      </c>
      <c r="G410" s="49"/>
    </row>
    <row r="411" spans="1:7" x14ac:dyDescent="0.3">
      <c r="A411" s="24" t="s">
        <v>156</v>
      </c>
      <c r="B411" s="24" t="s">
        <v>26</v>
      </c>
      <c r="C411" s="24" t="s">
        <v>27</v>
      </c>
      <c r="D411" s="25">
        <v>45628</v>
      </c>
      <c r="E411" s="25">
        <v>45657</v>
      </c>
      <c r="F411" s="52" t="s">
        <v>31</v>
      </c>
      <c r="G411" s="49"/>
    </row>
    <row r="412" spans="1:7" x14ac:dyDescent="0.3">
      <c r="A412" s="24" t="s">
        <v>156</v>
      </c>
      <c r="B412" s="24" t="s">
        <v>145</v>
      </c>
      <c r="C412" s="24" t="s">
        <v>25</v>
      </c>
      <c r="D412" s="25">
        <v>45679</v>
      </c>
      <c r="E412" s="25">
        <v>45679</v>
      </c>
      <c r="F412" s="52" t="s">
        <v>225</v>
      </c>
      <c r="G412" s="49" t="s">
        <v>286</v>
      </c>
    </row>
    <row r="413" spans="1:7" x14ac:dyDescent="0.3">
      <c r="A413" s="24" t="s">
        <v>156</v>
      </c>
      <c r="B413" s="24" t="s">
        <v>145</v>
      </c>
      <c r="C413" s="24" t="s">
        <v>25</v>
      </c>
      <c r="D413" s="25">
        <v>45727</v>
      </c>
      <c r="E413" s="25">
        <v>45727</v>
      </c>
      <c r="F413" s="52" t="s">
        <v>225</v>
      </c>
      <c r="G413" s="49" t="s">
        <v>304</v>
      </c>
    </row>
    <row r="414" spans="1:7" x14ac:dyDescent="0.3">
      <c r="A414" s="24" t="s">
        <v>156</v>
      </c>
      <c r="B414" s="24" t="s">
        <v>145</v>
      </c>
      <c r="C414" s="24" t="s">
        <v>25</v>
      </c>
      <c r="D414" s="25">
        <v>45741</v>
      </c>
      <c r="E414" s="25">
        <v>45741</v>
      </c>
      <c r="F414" s="49" t="s">
        <v>225</v>
      </c>
      <c r="G414" s="49" t="s">
        <v>315</v>
      </c>
    </row>
    <row r="415" spans="1:7" x14ac:dyDescent="0.3">
      <c r="A415" s="2" t="s">
        <v>524</v>
      </c>
      <c r="B415" s="2" t="s">
        <v>11</v>
      </c>
      <c r="C415" s="2" t="s">
        <v>14</v>
      </c>
      <c r="D415" s="4">
        <v>45964</v>
      </c>
      <c r="E415" s="4">
        <v>45982</v>
      </c>
      <c r="F415" s="38" t="s">
        <v>75</v>
      </c>
      <c r="G415" s="36"/>
    </row>
    <row r="416" spans="1:7" x14ac:dyDescent="0.3">
      <c r="A416" s="2" t="s">
        <v>524</v>
      </c>
      <c r="B416" s="2" t="s">
        <v>80</v>
      </c>
      <c r="C416" s="2" t="s">
        <v>10</v>
      </c>
      <c r="D416" s="4">
        <v>45985</v>
      </c>
      <c r="E416" s="4">
        <v>45989</v>
      </c>
      <c r="F416" s="38" t="s">
        <v>101</v>
      </c>
      <c r="G416" s="36" t="s">
        <v>528</v>
      </c>
    </row>
    <row r="417" spans="1:7" x14ac:dyDescent="0.3">
      <c r="A417" s="2" t="s">
        <v>524</v>
      </c>
      <c r="B417" s="2" t="s">
        <v>21</v>
      </c>
      <c r="C417" s="2" t="s">
        <v>22</v>
      </c>
      <c r="D417" s="4">
        <v>45985</v>
      </c>
      <c r="E417" s="4">
        <v>45996</v>
      </c>
      <c r="F417" s="38" t="s">
        <v>28</v>
      </c>
      <c r="G417" s="36" t="s">
        <v>528</v>
      </c>
    </row>
    <row r="418" spans="1:7" x14ac:dyDescent="0.3">
      <c r="A418" s="2" t="s">
        <v>524</v>
      </c>
      <c r="B418" s="2" t="s">
        <v>26</v>
      </c>
      <c r="C418" s="2" t="s">
        <v>27</v>
      </c>
      <c r="D418" s="4">
        <v>45994</v>
      </c>
      <c r="E418" s="4">
        <v>46000</v>
      </c>
      <c r="F418" s="38" t="s">
        <v>31</v>
      </c>
      <c r="G418" s="36" t="s">
        <v>527</v>
      </c>
    </row>
    <row r="419" spans="1:7" x14ac:dyDescent="0.3">
      <c r="A419" s="2" t="s">
        <v>524</v>
      </c>
      <c r="B419" s="2" t="s">
        <v>145</v>
      </c>
      <c r="C419" s="2" t="s">
        <v>25</v>
      </c>
      <c r="D419" s="4">
        <v>46000</v>
      </c>
      <c r="E419" s="4">
        <v>46000</v>
      </c>
      <c r="F419" s="38" t="s">
        <v>225</v>
      </c>
      <c r="G419" s="36" t="s">
        <v>526</v>
      </c>
    </row>
    <row r="420" spans="1:7" x14ac:dyDescent="0.3">
      <c r="A420" s="2" t="s">
        <v>477</v>
      </c>
      <c r="B420" s="2" t="s">
        <v>6</v>
      </c>
      <c r="C420" s="2" t="s">
        <v>7</v>
      </c>
      <c r="D420" s="4">
        <v>45943</v>
      </c>
      <c r="E420" s="4">
        <v>45961</v>
      </c>
      <c r="F420" s="38" t="s">
        <v>8</v>
      </c>
      <c r="G420" s="36"/>
    </row>
    <row r="421" spans="1:7" x14ac:dyDescent="0.3">
      <c r="A421" s="2" t="s">
        <v>477</v>
      </c>
      <c r="B421" s="2" t="s">
        <v>11</v>
      </c>
      <c r="C421" s="2" t="s">
        <v>14</v>
      </c>
      <c r="D421" s="4">
        <v>45943</v>
      </c>
      <c r="E421" s="4">
        <v>45961</v>
      </c>
      <c r="F421" s="38" t="s">
        <v>75</v>
      </c>
      <c r="G421" s="36"/>
    </row>
    <row r="422" spans="1:7" x14ac:dyDescent="0.3">
      <c r="A422" s="2" t="s">
        <v>477</v>
      </c>
      <c r="B422" s="2" t="s">
        <v>80</v>
      </c>
      <c r="C422" s="2" t="s">
        <v>10</v>
      </c>
      <c r="D422" s="4">
        <v>45957</v>
      </c>
      <c r="E422" s="4">
        <v>45968</v>
      </c>
      <c r="F422" s="38" t="s">
        <v>101</v>
      </c>
      <c r="G422" s="36" t="s">
        <v>480</v>
      </c>
    </row>
    <row r="423" spans="1:7" x14ac:dyDescent="0.3">
      <c r="A423" s="2" t="s">
        <v>477</v>
      </c>
      <c r="B423" s="2" t="s">
        <v>21</v>
      </c>
      <c r="C423" s="2" t="s">
        <v>22</v>
      </c>
      <c r="D423" s="4">
        <v>45964</v>
      </c>
      <c r="E423" s="4">
        <v>45975</v>
      </c>
      <c r="F423" s="38" t="s">
        <v>28</v>
      </c>
      <c r="G423" s="36" t="s">
        <v>481</v>
      </c>
    </row>
    <row r="424" spans="1:7" x14ac:dyDescent="0.3">
      <c r="A424" s="2" t="s">
        <v>477</v>
      </c>
      <c r="B424" s="2" t="s">
        <v>26</v>
      </c>
      <c r="C424" s="2" t="s">
        <v>27</v>
      </c>
      <c r="D424" s="4">
        <v>45964</v>
      </c>
      <c r="E424" s="4">
        <v>45979</v>
      </c>
      <c r="F424" s="38" t="s">
        <v>31</v>
      </c>
      <c r="G424" s="36" t="s">
        <v>479</v>
      </c>
    </row>
    <row r="425" spans="1:7" x14ac:dyDescent="0.3">
      <c r="A425" s="2" t="s">
        <v>477</v>
      </c>
      <c r="B425" s="2" t="s">
        <v>145</v>
      </c>
      <c r="C425" s="2" t="s">
        <v>25</v>
      </c>
      <c r="D425" s="4">
        <v>45979</v>
      </c>
      <c r="E425" s="4">
        <v>45979</v>
      </c>
      <c r="F425" s="38" t="s">
        <v>225</v>
      </c>
      <c r="G425" s="36" t="s">
        <v>587</v>
      </c>
    </row>
  </sheetData>
  <autoFilter ref="A1:E404" xr:uid="{00000000-0009-0000-0000-000001000000}"/>
  <dataValidations count="3">
    <dataValidation type="list" allowBlank="1" showInputMessage="1" showErrorMessage="1" sqref="B1:B1048576" xr:uid="{8DAA9EF4-880C-4E06-8F81-B1690F6827DD}">
      <formula1>Phase</formula1>
    </dataValidation>
    <dataValidation type="list" allowBlank="1" showInputMessage="1" showErrorMessage="1" sqref="A1:A1048576" xr:uid="{5DB62AC9-4EAC-4830-AE47-9AE57FF76A86}">
      <formula1>Projet</formula1>
    </dataValidation>
    <dataValidation type="list" allowBlank="1" showInputMessage="1" showErrorMessage="1" sqref="J1:J1048576 C1:C1048576" xr:uid="{912A1595-4CA3-4EB7-BF83-DE359C3D532B}">
      <formula1>Env</formula1>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date" allowBlank="1" showInputMessage="1" showErrorMessage="1" errorTitle="Date incorrecte" error="La date doit être comprise entre la date de début et la de fin de l'onglet Param." xr:uid="{4185224C-0764-46ED-B984-371053EDC80F}">
          <x14:formula1>
            <xm:f>Param!$B$1</xm:f>
          </x14:formula1>
          <x14:formula2>
            <xm:f>Param!$B$2</xm:f>
          </x14:formula2>
          <xm:sqref>K1:L1048576 D1:E233 D235:E1048576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6F69-4B83-43FF-A16C-8D65CDA99CE4}">
  <sheetPr codeName="Feuil8"/>
  <dimension ref="A1:AA74"/>
  <sheetViews>
    <sheetView workbookViewId="0">
      <selection activeCell="J27" sqref="J27"/>
    </sheetView>
  </sheetViews>
  <sheetFormatPr baseColWidth="10" defaultColWidth="11.44140625" defaultRowHeight="14.4" x14ac:dyDescent="0.3"/>
  <cols>
    <col min="1" max="1" width="11.44140625" bestFit="1" customWidth="1"/>
    <col min="2" max="2" width="10.5546875" bestFit="1" customWidth="1"/>
    <col min="3" max="3" width="2" hidden="1" customWidth="1"/>
    <col min="4" max="4" width="3.5546875" customWidth="1"/>
    <col min="5" max="5" width="19.44140625" bestFit="1" customWidth="1"/>
    <col min="6" max="6" width="45.77734375" bestFit="1" customWidth="1"/>
    <col min="7" max="7" width="4.5546875" bestFit="1" customWidth="1"/>
    <col min="8" max="8" width="3.5546875" customWidth="1"/>
    <col min="9" max="9" width="14.44140625" bestFit="1" customWidth="1"/>
    <col min="10" max="10" width="32.77734375" bestFit="1" customWidth="1"/>
    <col min="11" max="11" width="5.44140625" bestFit="1" customWidth="1"/>
    <col min="12" max="12" width="3.5546875" customWidth="1"/>
    <col min="13" max="13" width="19.5546875" bestFit="1" customWidth="1"/>
    <col min="14" max="14" width="18.44140625" bestFit="1" customWidth="1"/>
    <col min="15" max="15" width="4.5546875" bestFit="1" customWidth="1"/>
    <col min="16" max="18" width="4" bestFit="1" customWidth="1"/>
    <col min="19" max="19" width="2.5546875" customWidth="1"/>
    <col min="20" max="20" width="4.5546875" customWidth="1"/>
    <col min="21" max="21" width="3.5546875" customWidth="1"/>
    <col min="23" max="23" width="10.5546875" bestFit="1" customWidth="1"/>
    <col min="24" max="25" width="1.5546875" customWidth="1"/>
    <col min="26" max="26" width="14.5546875" bestFit="1" customWidth="1"/>
  </cols>
  <sheetData>
    <row r="1" spans="1:27" x14ac:dyDescent="0.3">
      <c r="A1" t="s">
        <v>59</v>
      </c>
      <c r="B1" s="5">
        <v>45908</v>
      </c>
      <c r="C1">
        <f>COLUMN(Col_Date_Début)</f>
        <v>5</v>
      </c>
      <c r="D1" s="6"/>
      <c r="E1" s="199" t="s">
        <v>60</v>
      </c>
      <c r="F1" s="199"/>
      <c r="G1" s="199"/>
      <c r="H1" s="1"/>
      <c r="I1" s="199" t="s">
        <v>1</v>
      </c>
      <c r="J1" s="199"/>
      <c r="K1" s="199"/>
      <c r="L1" s="1"/>
      <c r="M1" s="199" t="s">
        <v>2</v>
      </c>
      <c r="N1" s="199"/>
      <c r="O1" s="199"/>
      <c r="P1" s="199"/>
      <c r="Q1" s="199"/>
      <c r="R1" s="199"/>
      <c r="S1" s="1"/>
      <c r="T1" s="1"/>
      <c r="V1" t="s">
        <v>113</v>
      </c>
      <c r="W1" s="5">
        <v>46036</v>
      </c>
      <c r="Z1" t="s">
        <v>163</v>
      </c>
      <c r="AA1" s="39">
        <v>20</v>
      </c>
    </row>
    <row r="2" spans="1:27" x14ac:dyDescent="0.3">
      <c r="A2" t="s">
        <v>61</v>
      </c>
      <c r="B2" s="5">
        <f>MAX(Planning!3:3)</f>
        <v>46338</v>
      </c>
      <c r="E2" s="3" t="s">
        <v>62</v>
      </c>
      <c r="F2" s="3" t="s">
        <v>63</v>
      </c>
      <c r="G2" s="3" t="s">
        <v>64</v>
      </c>
      <c r="I2" s="3" t="s">
        <v>62</v>
      </c>
      <c r="J2" s="3" t="s">
        <v>63</v>
      </c>
      <c r="K2" s="3" t="s">
        <v>64</v>
      </c>
      <c r="M2" s="3" t="s">
        <v>65</v>
      </c>
      <c r="N2" s="3" t="s">
        <v>150</v>
      </c>
      <c r="O2" s="3" t="s">
        <v>64</v>
      </c>
      <c r="P2" s="199" t="s">
        <v>67</v>
      </c>
      <c r="Q2" s="199"/>
      <c r="R2" s="199"/>
      <c r="S2" s="1"/>
      <c r="T2" s="1"/>
      <c r="V2" t="s">
        <v>114</v>
      </c>
      <c r="W2" s="5">
        <v>46041</v>
      </c>
    </row>
    <row r="3" spans="1:27" x14ac:dyDescent="0.3">
      <c r="A3" t="s">
        <v>68</v>
      </c>
      <c r="B3" s="5">
        <v>45292</v>
      </c>
      <c r="C3" s="6"/>
      <c r="D3" s="6"/>
      <c r="E3" s="24" t="s">
        <v>181</v>
      </c>
      <c r="F3" s="24" t="s">
        <v>428</v>
      </c>
      <c r="G3" s="24" t="s">
        <v>69</v>
      </c>
      <c r="I3" s="2" t="s">
        <v>6</v>
      </c>
      <c r="J3" s="2" t="s">
        <v>51</v>
      </c>
      <c r="K3" s="2" t="s">
        <v>70</v>
      </c>
      <c r="M3" s="2" t="s">
        <v>7</v>
      </c>
      <c r="N3" s="22" t="s">
        <v>7</v>
      </c>
      <c r="O3" s="22" t="s">
        <v>8</v>
      </c>
      <c r="P3" s="7">
        <v>100</v>
      </c>
      <c r="Q3" s="7">
        <v>100</v>
      </c>
      <c r="R3" s="7">
        <v>200</v>
      </c>
      <c r="T3" s="8"/>
      <c r="V3" t="s">
        <v>115</v>
      </c>
      <c r="W3" s="5">
        <v>46062</v>
      </c>
    </row>
    <row r="4" spans="1:27" x14ac:dyDescent="0.3">
      <c r="B4" s="5">
        <v>45383</v>
      </c>
      <c r="C4" s="6"/>
      <c r="D4" s="6"/>
      <c r="E4" s="24" t="s">
        <v>182</v>
      </c>
      <c r="F4" s="24" t="s">
        <v>429</v>
      </c>
      <c r="G4" s="24" t="s">
        <v>71</v>
      </c>
      <c r="I4" s="2" t="s">
        <v>11</v>
      </c>
      <c r="J4" s="2" t="s">
        <v>52</v>
      </c>
      <c r="K4" s="2" t="s">
        <v>72</v>
      </c>
      <c r="M4" s="2" t="s">
        <v>38</v>
      </c>
      <c r="N4" s="2" t="s">
        <v>38</v>
      </c>
      <c r="O4" s="2" t="s">
        <v>39</v>
      </c>
      <c r="P4" s="7">
        <v>25</v>
      </c>
      <c r="Q4" s="7">
        <v>160</v>
      </c>
      <c r="R4" s="7">
        <v>160</v>
      </c>
      <c r="T4" s="18"/>
      <c r="V4" t="s">
        <v>116</v>
      </c>
      <c r="W4" s="5">
        <v>46083</v>
      </c>
    </row>
    <row r="5" spans="1:27" x14ac:dyDescent="0.3">
      <c r="B5" s="5">
        <v>45413</v>
      </c>
      <c r="C5" s="6"/>
      <c r="D5" s="6"/>
      <c r="E5" s="24" t="s">
        <v>348</v>
      </c>
      <c r="F5" s="24" t="s">
        <v>349</v>
      </c>
      <c r="G5" s="24" t="s">
        <v>73</v>
      </c>
      <c r="I5" s="2" t="s">
        <v>15</v>
      </c>
      <c r="J5" s="2" t="s">
        <v>53</v>
      </c>
      <c r="K5" s="2" t="s">
        <v>74</v>
      </c>
      <c r="M5" s="2" t="s">
        <v>14</v>
      </c>
      <c r="N5" s="2" t="s">
        <v>14</v>
      </c>
      <c r="O5" s="2" t="s">
        <v>75</v>
      </c>
      <c r="P5" s="7">
        <v>10</v>
      </c>
      <c r="Q5" s="7">
        <v>80</v>
      </c>
      <c r="R5" s="7">
        <v>120</v>
      </c>
      <c r="T5" s="9"/>
      <c r="V5" t="s">
        <v>117</v>
      </c>
      <c r="W5" s="5"/>
    </row>
    <row r="6" spans="1:27" x14ac:dyDescent="0.3">
      <c r="B6" s="5">
        <v>45420</v>
      </c>
      <c r="C6" s="6"/>
      <c r="D6" s="6"/>
      <c r="E6" s="24" t="s">
        <v>33</v>
      </c>
      <c r="F6" s="24" t="s">
        <v>430</v>
      </c>
      <c r="G6" s="24" t="s">
        <v>76</v>
      </c>
      <c r="I6" s="2" t="s">
        <v>19</v>
      </c>
      <c r="J6" s="2" t="s">
        <v>54</v>
      </c>
      <c r="K6" s="2" t="s">
        <v>77</v>
      </c>
      <c r="M6" s="2" t="s">
        <v>78</v>
      </c>
      <c r="N6" s="2" t="s">
        <v>78</v>
      </c>
      <c r="O6" s="2" t="s">
        <v>13</v>
      </c>
      <c r="P6" s="7">
        <v>20</v>
      </c>
      <c r="Q6" s="7">
        <v>200</v>
      </c>
      <c r="R6" s="7">
        <v>200</v>
      </c>
      <c r="T6" s="10"/>
      <c r="V6" t="s">
        <v>118</v>
      </c>
      <c r="W6" s="5">
        <v>46104</v>
      </c>
    </row>
    <row r="7" spans="1:27" x14ac:dyDescent="0.3">
      <c r="B7" s="5">
        <v>45421</v>
      </c>
      <c r="C7" s="6"/>
      <c r="D7" s="6"/>
      <c r="E7" s="24" t="s">
        <v>34</v>
      </c>
      <c r="F7" s="24" t="s">
        <v>431</v>
      </c>
      <c r="G7" s="24" t="s">
        <v>79</v>
      </c>
      <c r="I7" s="2" t="s">
        <v>80</v>
      </c>
      <c r="J7" s="2" t="s">
        <v>81</v>
      </c>
      <c r="K7" s="2" t="s">
        <v>82</v>
      </c>
      <c r="M7" s="2" t="s">
        <v>16</v>
      </c>
      <c r="N7" s="2" t="s">
        <v>83</v>
      </c>
      <c r="O7" s="2" t="s">
        <v>17</v>
      </c>
      <c r="P7" s="7">
        <v>180</v>
      </c>
      <c r="Q7" s="7">
        <v>20</v>
      </c>
      <c r="R7" s="7">
        <v>180</v>
      </c>
      <c r="T7" s="53"/>
      <c r="V7" t="s">
        <v>119</v>
      </c>
      <c r="W7" s="5">
        <v>46111</v>
      </c>
    </row>
    <row r="8" spans="1:27" x14ac:dyDescent="0.3">
      <c r="B8" s="5">
        <v>45432</v>
      </c>
      <c r="C8" s="6"/>
      <c r="D8" s="6"/>
      <c r="E8" s="24" t="s">
        <v>35</v>
      </c>
      <c r="F8" s="24" t="s">
        <v>432</v>
      </c>
      <c r="G8" s="24" t="s">
        <v>84</v>
      </c>
      <c r="I8" s="2" t="s">
        <v>21</v>
      </c>
      <c r="J8" s="2" t="s">
        <v>55</v>
      </c>
      <c r="K8" s="2" t="s">
        <v>85</v>
      </c>
      <c r="M8" s="2" t="s">
        <v>222</v>
      </c>
      <c r="N8" s="2" t="s">
        <v>83</v>
      </c>
      <c r="O8" s="2" t="s">
        <v>20</v>
      </c>
      <c r="P8" s="7">
        <v>180</v>
      </c>
      <c r="Q8" s="7">
        <v>20</v>
      </c>
      <c r="R8" s="7">
        <v>180</v>
      </c>
      <c r="T8" s="53"/>
      <c r="V8" t="s">
        <v>120</v>
      </c>
      <c r="W8" s="5">
        <v>46132</v>
      </c>
    </row>
    <row r="9" spans="1:27" x14ac:dyDescent="0.3">
      <c r="B9" s="5">
        <v>45487</v>
      </c>
      <c r="C9" s="6"/>
      <c r="D9" s="6"/>
      <c r="E9" s="24" t="s">
        <v>36</v>
      </c>
      <c r="F9" s="24" t="s">
        <v>433</v>
      </c>
      <c r="G9" s="24" t="s">
        <v>88</v>
      </c>
      <c r="I9" s="2" t="s">
        <v>89</v>
      </c>
      <c r="J9" s="2" t="s">
        <v>90</v>
      </c>
      <c r="K9" s="2" t="s">
        <v>91</v>
      </c>
      <c r="M9" s="2" t="s">
        <v>224</v>
      </c>
      <c r="N9" s="2" t="s">
        <v>83</v>
      </c>
      <c r="O9" s="2" t="s">
        <v>92</v>
      </c>
      <c r="P9" s="7">
        <v>180</v>
      </c>
      <c r="Q9" s="7">
        <v>20</v>
      </c>
      <c r="R9" s="7">
        <v>180</v>
      </c>
      <c r="T9" s="53"/>
      <c r="V9" t="s">
        <v>121</v>
      </c>
      <c r="W9" s="5">
        <v>46153</v>
      </c>
    </row>
    <row r="10" spans="1:27" x14ac:dyDescent="0.3">
      <c r="B10" s="5">
        <v>45519</v>
      </c>
      <c r="C10" s="6"/>
      <c r="D10" s="6"/>
      <c r="E10" s="24" t="s">
        <v>87</v>
      </c>
      <c r="F10" s="24" t="s">
        <v>209</v>
      </c>
      <c r="G10" s="24" t="s">
        <v>93</v>
      </c>
      <c r="I10" s="2" t="s">
        <v>94</v>
      </c>
      <c r="J10" s="2" t="s">
        <v>95</v>
      </c>
      <c r="K10" s="2" t="s">
        <v>96</v>
      </c>
      <c r="M10" s="2" t="s">
        <v>18</v>
      </c>
      <c r="N10" s="2" t="s">
        <v>86</v>
      </c>
      <c r="O10" s="2" t="s">
        <v>98</v>
      </c>
      <c r="P10" s="7">
        <v>30</v>
      </c>
      <c r="Q10" s="7">
        <v>30</v>
      </c>
      <c r="R10" s="7">
        <v>220</v>
      </c>
      <c r="T10" s="23"/>
      <c r="V10" t="s">
        <v>122</v>
      </c>
      <c r="W10" s="5">
        <v>46174</v>
      </c>
    </row>
    <row r="11" spans="1:27" x14ac:dyDescent="0.3">
      <c r="B11" s="5">
        <v>45597</v>
      </c>
      <c r="C11" s="6"/>
      <c r="D11" s="6"/>
      <c r="E11" s="24" t="s">
        <v>37</v>
      </c>
      <c r="F11" s="24" t="s">
        <v>270</v>
      </c>
      <c r="G11" s="24" t="s">
        <v>146</v>
      </c>
      <c r="I11" s="2" t="s">
        <v>26</v>
      </c>
      <c r="J11" s="2" t="s">
        <v>371</v>
      </c>
      <c r="K11" s="2" t="s">
        <v>99</v>
      </c>
      <c r="M11" s="2" t="s">
        <v>10</v>
      </c>
      <c r="N11" s="2" t="s">
        <v>390</v>
      </c>
      <c r="O11" s="2" t="s">
        <v>101</v>
      </c>
      <c r="P11" s="7">
        <v>50</v>
      </c>
      <c r="Q11" s="7">
        <v>140</v>
      </c>
      <c r="R11" s="7">
        <v>10</v>
      </c>
      <c r="T11" s="14"/>
      <c r="V11" t="s">
        <v>40</v>
      </c>
      <c r="W11" s="5">
        <v>45838</v>
      </c>
    </row>
    <row r="12" spans="1:27" x14ac:dyDescent="0.3">
      <c r="B12" s="5">
        <v>45607</v>
      </c>
      <c r="C12" s="6"/>
      <c r="D12" s="6"/>
      <c r="E12" s="24" t="s">
        <v>230</v>
      </c>
      <c r="F12" s="24" t="s">
        <v>271</v>
      </c>
      <c r="G12" s="24" t="s">
        <v>147</v>
      </c>
      <c r="I12" s="2" t="s">
        <v>145</v>
      </c>
      <c r="J12" s="2" t="s">
        <v>57</v>
      </c>
      <c r="K12" s="2" t="s">
        <v>102</v>
      </c>
      <c r="M12" s="2" t="s">
        <v>32</v>
      </c>
      <c r="N12" s="2" t="s">
        <v>97</v>
      </c>
      <c r="O12" s="2" t="s">
        <v>23</v>
      </c>
      <c r="P12" s="7">
        <v>100</v>
      </c>
      <c r="Q12" s="7">
        <v>40</v>
      </c>
      <c r="R12" s="7">
        <v>40</v>
      </c>
      <c r="T12" s="16"/>
      <c r="V12" t="s">
        <v>41</v>
      </c>
      <c r="W12" s="5">
        <v>45845</v>
      </c>
    </row>
    <row r="13" spans="1:27" x14ac:dyDescent="0.3">
      <c r="B13" s="5">
        <v>45651</v>
      </c>
      <c r="C13" s="6"/>
      <c r="D13" s="6"/>
      <c r="E13" s="24" t="s">
        <v>155</v>
      </c>
      <c r="F13" s="24" t="s">
        <v>434</v>
      </c>
      <c r="G13" s="24" t="s">
        <v>153</v>
      </c>
      <c r="I13" s="2" t="s">
        <v>144</v>
      </c>
      <c r="J13" s="2" t="s">
        <v>56</v>
      </c>
      <c r="K13" s="2" t="s">
        <v>104</v>
      </c>
      <c r="M13" s="2" t="s">
        <v>100</v>
      </c>
      <c r="N13" s="2" t="s">
        <v>100</v>
      </c>
      <c r="O13" s="2" t="s">
        <v>106</v>
      </c>
      <c r="P13" s="7">
        <v>160</v>
      </c>
      <c r="Q13" s="7">
        <v>60</v>
      </c>
      <c r="R13" s="7">
        <v>60</v>
      </c>
      <c r="T13" s="29"/>
      <c r="V13" t="s">
        <v>42</v>
      </c>
      <c r="W13" s="5">
        <v>45866</v>
      </c>
    </row>
    <row r="14" spans="1:27" x14ac:dyDescent="0.3">
      <c r="B14" s="5">
        <v>45658</v>
      </c>
      <c r="C14" s="6"/>
      <c r="D14" s="6"/>
      <c r="E14" s="24" t="s">
        <v>156</v>
      </c>
      <c r="F14" s="24" t="s">
        <v>435</v>
      </c>
      <c r="G14" s="24" t="s">
        <v>154</v>
      </c>
      <c r="I14" s="2" t="s">
        <v>152</v>
      </c>
      <c r="J14" s="2" t="s">
        <v>58</v>
      </c>
      <c r="K14" s="2" t="s">
        <v>107</v>
      </c>
      <c r="M14" s="2" t="s">
        <v>22</v>
      </c>
      <c r="N14" s="2" t="s">
        <v>103</v>
      </c>
      <c r="O14" s="2" t="s">
        <v>28</v>
      </c>
      <c r="P14" s="7">
        <v>180</v>
      </c>
      <c r="Q14" s="7">
        <v>110</v>
      </c>
      <c r="R14" s="7">
        <v>80</v>
      </c>
      <c r="T14" s="15"/>
      <c r="V14" t="s">
        <v>43</v>
      </c>
      <c r="W14" s="5">
        <v>45887</v>
      </c>
    </row>
    <row r="15" spans="1:27" x14ac:dyDescent="0.3">
      <c r="B15" s="5">
        <v>45768</v>
      </c>
      <c r="E15" s="24" t="s">
        <v>168</v>
      </c>
      <c r="F15" s="24" t="s">
        <v>169</v>
      </c>
      <c r="G15" s="24" t="s">
        <v>170</v>
      </c>
      <c r="I15" s="32" t="s">
        <v>141</v>
      </c>
      <c r="J15" s="32" t="s">
        <v>142</v>
      </c>
      <c r="K15" s="2" t="s">
        <v>143</v>
      </c>
      <c r="M15" s="2" t="s">
        <v>29</v>
      </c>
      <c r="N15" s="2" t="s">
        <v>105</v>
      </c>
      <c r="O15" s="2" t="s">
        <v>111</v>
      </c>
      <c r="P15" s="7">
        <v>100</v>
      </c>
      <c r="Q15" s="7">
        <v>10</v>
      </c>
      <c r="R15" s="7">
        <v>100</v>
      </c>
      <c r="T15" s="11"/>
      <c r="V15" t="s">
        <v>44</v>
      </c>
      <c r="W15" s="5">
        <v>45908</v>
      </c>
    </row>
    <row r="16" spans="1:27" x14ac:dyDescent="0.3">
      <c r="B16" s="5">
        <v>45778</v>
      </c>
      <c r="E16" s="24" t="s">
        <v>173</v>
      </c>
      <c r="F16" s="24" t="s">
        <v>173</v>
      </c>
      <c r="G16" s="24" t="s">
        <v>174</v>
      </c>
      <c r="M16" s="2" t="s">
        <v>27</v>
      </c>
      <c r="N16" s="2" t="s">
        <v>108</v>
      </c>
      <c r="O16" s="2" t="s">
        <v>31</v>
      </c>
      <c r="P16" s="7">
        <v>25</v>
      </c>
      <c r="Q16" s="7">
        <v>225</v>
      </c>
      <c r="R16" s="7">
        <v>125</v>
      </c>
      <c r="T16" s="12"/>
      <c r="V16" t="s">
        <v>45</v>
      </c>
      <c r="W16" s="5">
        <v>45936</v>
      </c>
    </row>
    <row r="17" spans="2:23" x14ac:dyDescent="0.3">
      <c r="B17" s="5">
        <v>45785</v>
      </c>
      <c r="E17" s="24" t="s">
        <v>176</v>
      </c>
      <c r="F17" s="24" t="s">
        <v>205</v>
      </c>
      <c r="G17" s="24" t="s">
        <v>175</v>
      </c>
      <c r="M17" s="2" t="s">
        <v>109</v>
      </c>
      <c r="N17" s="2" t="s">
        <v>110</v>
      </c>
      <c r="O17" s="2" t="s">
        <v>223</v>
      </c>
      <c r="P17" s="7">
        <v>160</v>
      </c>
      <c r="Q17" s="7">
        <v>40</v>
      </c>
      <c r="R17" s="7">
        <v>40</v>
      </c>
      <c r="T17" s="17"/>
      <c r="V17" t="s">
        <v>46</v>
      </c>
      <c r="W17" s="5">
        <v>45943</v>
      </c>
    </row>
    <row r="18" spans="2:23" x14ac:dyDescent="0.3">
      <c r="B18" s="5">
        <v>45806</v>
      </c>
      <c r="E18" s="24" t="s">
        <v>139</v>
      </c>
      <c r="F18" s="24" t="s">
        <v>213</v>
      </c>
      <c r="G18" s="24" t="s">
        <v>177</v>
      </c>
      <c r="M18" s="2" t="s">
        <v>25</v>
      </c>
      <c r="N18" s="2" t="s">
        <v>112</v>
      </c>
      <c r="O18" s="2" t="s">
        <v>225</v>
      </c>
      <c r="P18" s="7">
        <v>250</v>
      </c>
      <c r="Q18" s="7">
        <v>60</v>
      </c>
      <c r="R18" s="7">
        <v>20</v>
      </c>
      <c r="T18" s="77"/>
      <c r="V18" t="s">
        <v>47</v>
      </c>
      <c r="W18" s="5">
        <v>45964</v>
      </c>
    </row>
    <row r="19" spans="2:23" x14ac:dyDescent="0.3">
      <c r="B19" s="5">
        <v>45817</v>
      </c>
      <c r="E19" s="24" t="s">
        <v>196</v>
      </c>
      <c r="F19" s="24" t="s">
        <v>272</v>
      </c>
      <c r="G19" s="24" t="s">
        <v>183</v>
      </c>
      <c r="V19" t="s">
        <v>48</v>
      </c>
      <c r="W19" s="5">
        <v>45985</v>
      </c>
    </row>
    <row r="20" spans="2:23" x14ac:dyDescent="0.3">
      <c r="B20" s="5">
        <v>45852</v>
      </c>
      <c r="E20" s="24" t="s">
        <v>185</v>
      </c>
      <c r="F20" s="24" t="s">
        <v>212</v>
      </c>
      <c r="G20" s="24" t="s">
        <v>184</v>
      </c>
      <c r="V20" t="s">
        <v>49</v>
      </c>
      <c r="W20" s="5"/>
    </row>
    <row r="21" spans="2:23" x14ac:dyDescent="0.3">
      <c r="B21" s="5">
        <v>45884</v>
      </c>
      <c r="E21" s="24" t="s">
        <v>187</v>
      </c>
      <c r="F21" s="24" t="s">
        <v>273</v>
      </c>
      <c r="G21" s="24" t="s">
        <v>186</v>
      </c>
    </row>
    <row r="22" spans="2:23" x14ac:dyDescent="0.3">
      <c r="B22" s="5">
        <v>45962</v>
      </c>
      <c r="E22" s="24" t="s">
        <v>189</v>
      </c>
      <c r="F22" s="24" t="s">
        <v>219</v>
      </c>
      <c r="G22" s="24" t="s">
        <v>188</v>
      </c>
    </row>
    <row r="23" spans="2:23" x14ac:dyDescent="0.3">
      <c r="B23" s="5">
        <v>45972</v>
      </c>
      <c r="E23" s="24" t="s">
        <v>191</v>
      </c>
      <c r="F23" s="24" t="s">
        <v>220</v>
      </c>
      <c r="G23" s="24" t="s">
        <v>190</v>
      </c>
      <c r="I23" s="142" t="s">
        <v>620</v>
      </c>
    </row>
    <row r="24" spans="2:23" x14ac:dyDescent="0.3">
      <c r="B24" s="5">
        <v>46016</v>
      </c>
      <c r="E24" s="24" t="s">
        <v>193</v>
      </c>
      <c r="F24" s="24" t="s">
        <v>221</v>
      </c>
      <c r="G24" s="24" t="s">
        <v>192</v>
      </c>
    </row>
    <row r="25" spans="2:23" x14ac:dyDescent="0.3">
      <c r="B25" s="5">
        <v>46023</v>
      </c>
      <c r="E25" s="24" t="s">
        <v>197</v>
      </c>
      <c r="F25" s="24" t="s">
        <v>274</v>
      </c>
      <c r="G25" s="24" t="s">
        <v>194</v>
      </c>
    </row>
    <row r="26" spans="2:23" x14ac:dyDescent="0.3">
      <c r="B26" s="5">
        <v>46133</v>
      </c>
      <c r="E26" s="24" t="s">
        <v>231</v>
      </c>
      <c r="F26" s="24" t="s">
        <v>289</v>
      </c>
      <c r="G26" s="24" t="s">
        <v>195</v>
      </c>
    </row>
    <row r="27" spans="2:23" x14ac:dyDescent="0.3">
      <c r="B27" s="5">
        <v>46143</v>
      </c>
      <c r="E27" s="24" t="s">
        <v>250</v>
      </c>
      <c r="F27" s="24" t="s">
        <v>320</v>
      </c>
      <c r="G27" s="24" t="s">
        <v>232</v>
      </c>
    </row>
    <row r="28" spans="2:23" x14ac:dyDescent="0.3">
      <c r="B28" s="5">
        <v>46150</v>
      </c>
      <c r="E28" s="32" t="s">
        <v>252</v>
      </c>
      <c r="F28" s="32" t="s">
        <v>254</v>
      </c>
      <c r="G28" s="2" t="s">
        <v>251</v>
      </c>
    </row>
    <row r="29" spans="2:23" x14ac:dyDescent="0.3">
      <c r="B29" s="5">
        <v>46171</v>
      </c>
      <c r="E29" s="32" t="s">
        <v>253</v>
      </c>
      <c r="F29" s="32" t="s">
        <v>255</v>
      </c>
      <c r="G29" s="2" t="s">
        <v>260</v>
      </c>
    </row>
    <row r="30" spans="2:23" x14ac:dyDescent="0.3">
      <c r="B30" s="5">
        <v>46182</v>
      </c>
      <c r="E30" s="32" t="s">
        <v>256</v>
      </c>
      <c r="F30" s="32" t="s">
        <v>257</v>
      </c>
      <c r="G30" s="2" t="s">
        <v>261</v>
      </c>
    </row>
    <row r="31" spans="2:23" x14ac:dyDescent="0.3">
      <c r="B31" s="5">
        <v>46217</v>
      </c>
      <c r="E31" s="32" t="s">
        <v>258</v>
      </c>
      <c r="F31" s="32" t="s">
        <v>259</v>
      </c>
      <c r="G31" s="2" t="s">
        <v>262</v>
      </c>
    </row>
    <row r="32" spans="2:23" x14ac:dyDescent="0.3">
      <c r="B32" s="5">
        <v>46249</v>
      </c>
      <c r="E32" s="32" t="s">
        <v>299</v>
      </c>
      <c r="F32" s="32" t="s">
        <v>300</v>
      </c>
      <c r="G32" s="2" t="s">
        <v>298</v>
      </c>
    </row>
    <row r="33" spans="2:7" x14ac:dyDescent="0.3">
      <c r="B33" s="5">
        <v>46327</v>
      </c>
      <c r="E33" s="24" t="s">
        <v>323</v>
      </c>
      <c r="F33" s="24" t="s">
        <v>425</v>
      </c>
      <c r="G33" s="24" t="s">
        <v>303</v>
      </c>
    </row>
    <row r="34" spans="2:7" x14ac:dyDescent="0.3">
      <c r="B34" s="5">
        <v>46337</v>
      </c>
      <c r="E34" s="24" t="s">
        <v>329</v>
      </c>
      <c r="F34" s="24" t="s">
        <v>426</v>
      </c>
      <c r="G34" s="24" t="s">
        <v>327</v>
      </c>
    </row>
    <row r="35" spans="2:7" x14ac:dyDescent="0.3">
      <c r="B35" s="5">
        <v>46381</v>
      </c>
      <c r="E35" s="24" t="s">
        <v>331</v>
      </c>
      <c r="F35" s="24" t="s">
        <v>427</v>
      </c>
      <c r="G35" s="24" t="s">
        <v>328</v>
      </c>
    </row>
    <row r="36" spans="2:7" x14ac:dyDescent="0.3">
      <c r="E36" s="24" t="s">
        <v>337</v>
      </c>
      <c r="F36" s="24" t="s">
        <v>338</v>
      </c>
      <c r="G36" s="24" t="s">
        <v>336</v>
      </c>
    </row>
    <row r="37" spans="2:7" x14ac:dyDescent="0.3">
      <c r="E37" s="24" t="s">
        <v>340</v>
      </c>
      <c r="F37" s="24" t="s">
        <v>339</v>
      </c>
      <c r="G37" s="24" t="s">
        <v>341</v>
      </c>
    </row>
    <row r="38" spans="2:7" x14ac:dyDescent="0.3">
      <c r="E38" s="24" t="s">
        <v>350</v>
      </c>
      <c r="F38" s="24" t="s">
        <v>351</v>
      </c>
      <c r="G38" s="24" t="s">
        <v>352</v>
      </c>
    </row>
    <row r="39" spans="2:7" x14ac:dyDescent="0.3">
      <c r="E39" s="32" t="s">
        <v>353</v>
      </c>
      <c r="F39" s="32" t="s">
        <v>354</v>
      </c>
      <c r="G39" s="2" t="s">
        <v>355</v>
      </c>
    </row>
    <row r="40" spans="2:7" x14ac:dyDescent="0.3">
      <c r="E40" s="24" t="s">
        <v>358</v>
      </c>
      <c r="F40" s="24" t="s">
        <v>359</v>
      </c>
      <c r="G40" s="24" t="s">
        <v>360</v>
      </c>
    </row>
    <row r="41" spans="2:7" x14ac:dyDescent="0.3">
      <c r="E41" s="24" t="s">
        <v>363</v>
      </c>
      <c r="F41" s="24" t="s">
        <v>373</v>
      </c>
      <c r="G41" s="24" t="s">
        <v>364</v>
      </c>
    </row>
    <row r="42" spans="2:7" x14ac:dyDescent="0.3">
      <c r="E42" s="24" t="s">
        <v>365</v>
      </c>
      <c r="F42" s="24" t="s">
        <v>366</v>
      </c>
      <c r="G42" s="24" t="s">
        <v>367</v>
      </c>
    </row>
    <row r="43" spans="2:7" x14ac:dyDescent="0.3">
      <c r="E43" s="24" t="s">
        <v>368</v>
      </c>
      <c r="F43" s="24" t="s">
        <v>424</v>
      </c>
      <c r="G43" s="24" t="s">
        <v>369</v>
      </c>
    </row>
    <row r="44" spans="2:7" x14ac:dyDescent="0.3">
      <c r="E44" s="24" t="s">
        <v>375</v>
      </c>
      <c r="F44" s="24" t="s">
        <v>376</v>
      </c>
      <c r="G44" s="24" t="s">
        <v>374</v>
      </c>
    </row>
    <row r="45" spans="2:7" x14ac:dyDescent="0.3">
      <c r="E45" s="24" t="s">
        <v>379</v>
      </c>
      <c r="F45" s="24" t="s">
        <v>380</v>
      </c>
      <c r="G45" s="24" t="s">
        <v>381</v>
      </c>
    </row>
    <row r="46" spans="2:7" x14ac:dyDescent="0.3">
      <c r="E46" s="24" t="s">
        <v>383</v>
      </c>
      <c r="F46" s="24" t="s">
        <v>384</v>
      </c>
      <c r="G46" s="24" t="s">
        <v>385</v>
      </c>
    </row>
    <row r="47" spans="2:7" x14ac:dyDescent="0.3">
      <c r="E47" s="24" t="s">
        <v>386</v>
      </c>
      <c r="F47" s="24" t="s">
        <v>436</v>
      </c>
      <c r="G47" s="24" t="s">
        <v>387</v>
      </c>
    </row>
    <row r="48" spans="2:7" x14ac:dyDescent="0.3">
      <c r="E48" s="32" t="s">
        <v>391</v>
      </c>
      <c r="F48" s="32" t="s">
        <v>565</v>
      </c>
      <c r="G48" s="2" t="s">
        <v>392</v>
      </c>
    </row>
    <row r="49" spans="5:7" x14ac:dyDescent="0.3">
      <c r="E49" s="24" t="s">
        <v>399</v>
      </c>
      <c r="F49" s="24" t="s">
        <v>400</v>
      </c>
      <c r="G49" s="24" t="s">
        <v>398</v>
      </c>
    </row>
    <row r="50" spans="5:7" x14ac:dyDescent="0.3">
      <c r="E50" s="24" t="s">
        <v>415</v>
      </c>
      <c r="F50" s="24" t="s">
        <v>414</v>
      </c>
      <c r="G50" s="24" t="s">
        <v>416</v>
      </c>
    </row>
    <row r="51" spans="5:7" x14ac:dyDescent="0.3">
      <c r="E51" s="24" t="s">
        <v>418</v>
      </c>
      <c r="F51" s="24" t="s">
        <v>417</v>
      </c>
      <c r="G51" s="24" t="s">
        <v>419</v>
      </c>
    </row>
    <row r="52" spans="5:7" x14ac:dyDescent="0.3">
      <c r="E52" s="24" t="s">
        <v>422</v>
      </c>
      <c r="F52" s="24" t="s">
        <v>420</v>
      </c>
      <c r="G52" s="24" t="s">
        <v>421</v>
      </c>
    </row>
    <row r="53" spans="5:7" x14ac:dyDescent="0.3">
      <c r="E53" s="24" t="s">
        <v>454</v>
      </c>
      <c r="F53" s="24" t="s">
        <v>453</v>
      </c>
      <c r="G53" s="24" t="s">
        <v>455</v>
      </c>
    </row>
    <row r="54" spans="5:7" x14ac:dyDescent="0.3">
      <c r="E54" s="32" t="s">
        <v>460</v>
      </c>
      <c r="F54" s="32" t="s">
        <v>550</v>
      </c>
      <c r="G54" s="2" t="s">
        <v>461</v>
      </c>
    </row>
    <row r="55" spans="5:7" x14ac:dyDescent="0.3">
      <c r="E55" s="32" t="s">
        <v>462</v>
      </c>
      <c r="F55" s="32" t="s">
        <v>463</v>
      </c>
      <c r="G55" s="2" t="s">
        <v>464</v>
      </c>
    </row>
    <row r="56" spans="5:7" x14ac:dyDescent="0.3">
      <c r="E56" s="32" t="s">
        <v>475</v>
      </c>
      <c r="F56" s="32" t="s">
        <v>543</v>
      </c>
      <c r="G56" s="2" t="s">
        <v>474</v>
      </c>
    </row>
    <row r="57" spans="5:7" x14ac:dyDescent="0.3">
      <c r="E57" s="32" t="s">
        <v>477</v>
      </c>
      <c r="F57" s="32" t="s">
        <v>544</v>
      </c>
      <c r="G57" s="2" t="s">
        <v>476</v>
      </c>
    </row>
    <row r="58" spans="5:7" x14ac:dyDescent="0.3">
      <c r="E58" s="32" t="s">
        <v>484</v>
      </c>
      <c r="F58" s="32" t="s">
        <v>485</v>
      </c>
      <c r="G58" s="2" t="s">
        <v>483</v>
      </c>
    </row>
    <row r="59" spans="5:7" x14ac:dyDescent="0.3">
      <c r="E59" s="32" t="s">
        <v>524</v>
      </c>
      <c r="F59" s="32" t="s">
        <v>525</v>
      </c>
      <c r="G59" s="2" t="s">
        <v>523</v>
      </c>
    </row>
    <row r="60" spans="5:7" x14ac:dyDescent="0.3">
      <c r="E60" s="32" t="s">
        <v>533</v>
      </c>
      <c r="F60" s="32" t="s">
        <v>535</v>
      </c>
      <c r="G60" s="2" t="s">
        <v>534</v>
      </c>
    </row>
    <row r="61" spans="5:7" x14ac:dyDescent="0.3">
      <c r="E61" s="32" t="s">
        <v>537</v>
      </c>
      <c r="F61" s="32" t="s">
        <v>538</v>
      </c>
      <c r="G61" s="2" t="s">
        <v>539</v>
      </c>
    </row>
    <row r="62" spans="5:7" x14ac:dyDescent="0.3">
      <c r="E62" s="32" t="s">
        <v>560</v>
      </c>
      <c r="F62" s="32" t="s">
        <v>558</v>
      </c>
      <c r="G62" s="2" t="s">
        <v>559</v>
      </c>
    </row>
    <row r="63" spans="5:7" x14ac:dyDescent="0.3">
      <c r="E63" s="32" t="s">
        <v>563</v>
      </c>
      <c r="F63" s="2" t="s">
        <v>545</v>
      </c>
      <c r="G63" s="2" t="s">
        <v>564</v>
      </c>
    </row>
    <row r="64" spans="5:7" x14ac:dyDescent="0.3">
      <c r="E64" s="32" t="s">
        <v>570</v>
      </c>
      <c r="F64" s="32" t="s">
        <v>571</v>
      </c>
      <c r="G64" s="2" t="s">
        <v>572</v>
      </c>
    </row>
    <row r="65" spans="5:7" x14ac:dyDescent="0.3">
      <c r="E65" s="32" t="s">
        <v>574</v>
      </c>
      <c r="F65" s="32" t="s">
        <v>575</v>
      </c>
      <c r="G65" s="2" t="s">
        <v>576</v>
      </c>
    </row>
    <row r="66" spans="5:7" x14ac:dyDescent="0.3">
      <c r="E66" s="32" t="s">
        <v>579</v>
      </c>
      <c r="F66" s="32" t="s">
        <v>578</v>
      </c>
      <c r="G66" s="2" t="s">
        <v>580</v>
      </c>
    </row>
    <row r="67" spans="5:7" x14ac:dyDescent="0.3">
      <c r="E67" s="32" t="s">
        <v>602</v>
      </c>
      <c r="F67" s="2" t="s">
        <v>602</v>
      </c>
      <c r="G67" s="2" t="s">
        <v>581</v>
      </c>
    </row>
    <row r="68" spans="5:7" x14ac:dyDescent="0.3">
      <c r="E68" s="32" t="s">
        <v>584</v>
      </c>
      <c r="F68" s="32" t="s">
        <v>584</v>
      </c>
      <c r="G68" s="2" t="s">
        <v>585</v>
      </c>
    </row>
    <row r="69" spans="5:7" x14ac:dyDescent="0.3">
      <c r="E69" s="32" t="s">
        <v>588</v>
      </c>
      <c r="F69" s="32" t="s">
        <v>589</v>
      </c>
      <c r="G69" s="2" t="s">
        <v>590</v>
      </c>
    </row>
    <row r="70" spans="5:7" x14ac:dyDescent="0.3">
      <c r="E70" s="32" t="s">
        <v>593</v>
      </c>
      <c r="F70" s="32" t="s">
        <v>594</v>
      </c>
      <c r="G70" s="2" t="s">
        <v>592</v>
      </c>
    </row>
    <row r="71" spans="5:7" x14ac:dyDescent="0.3">
      <c r="E71" s="32" t="s">
        <v>596</v>
      </c>
      <c r="F71" s="32" t="s">
        <v>597</v>
      </c>
      <c r="G71" s="2" t="s">
        <v>595</v>
      </c>
    </row>
    <row r="72" spans="5:7" x14ac:dyDescent="0.3">
      <c r="E72" s="140" t="s">
        <v>604</v>
      </c>
      <c r="F72" s="139" t="s">
        <v>605</v>
      </c>
      <c r="G72" s="108" t="s">
        <v>606</v>
      </c>
    </row>
    <row r="73" spans="5:7" x14ac:dyDescent="0.3">
      <c r="E73" s="32" t="s">
        <v>610</v>
      </c>
      <c r="F73" s="32" t="s">
        <v>609</v>
      </c>
      <c r="G73" s="2" t="s">
        <v>607</v>
      </c>
    </row>
    <row r="74" spans="5:7" x14ac:dyDescent="0.3">
      <c r="E74" s="32" t="s">
        <v>612</v>
      </c>
      <c r="F74" s="32" t="s">
        <v>611</v>
      </c>
      <c r="G74" s="2" t="s">
        <v>608</v>
      </c>
    </row>
  </sheetData>
  <mergeCells count="4">
    <mergeCell ref="E1:G1"/>
    <mergeCell ref="I1:K1"/>
    <mergeCell ref="M1:R1"/>
    <mergeCell ref="P2:R2"/>
  </mergeCell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B1:D17"/>
  <sheetViews>
    <sheetView workbookViewId="0">
      <selection activeCell="D11" sqref="D11"/>
    </sheetView>
  </sheetViews>
  <sheetFormatPr baseColWidth="10" defaultColWidth="9.44140625" defaultRowHeight="14.4" x14ac:dyDescent="0.3"/>
  <cols>
    <col min="2" max="2" width="47.5546875" customWidth="1"/>
    <col min="3" max="3" width="19.5546875" bestFit="1" customWidth="1"/>
    <col min="4" max="4" width="15.44140625" bestFit="1" customWidth="1"/>
  </cols>
  <sheetData>
    <row r="1" spans="2:4" x14ac:dyDescent="0.3">
      <c r="B1" s="3" t="s">
        <v>123</v>
      </c>
      <c r="C1" s="3" t="s">
        <v>65</v>
      </c>
      <c r="D1" s="3" t="s">
        <v>66</v>
      </c>
    </row>
    <row r="2" spans="2:4" x14ac:dyDescent="0.3">
      <c r="B2" s="2" t="s">
        <v>124</v>
      </c>
      <c r="C2" s="2" t="s">
        <v>7</v>
      </c>
      <c r="D2" s="2" t="s">
        <v>7</v>
      </c>
    </row>
    <row r="3" spans="2:4" x14ac:dyDescent="0.3">
      <c r="B3" s="2" t="s">
        <v>125</v>
      </c>
      <c r="C3" s="2" t="s">
        <v>38</v>
      </c>
      <c r="D3" s="2" t="s">
        <v>38</v>
      </c>
    </row>
    <row r="4" spans="2:4" x14ac:dyDescent="0.3">
      <c r="B4" s="2" t="s">
        <v>126</v>
      </c>
      <c r="C4" s="2" t="s">
        <v>14</v>
      </c>
      <c r="D4" s="2" t="s">
        <v>14</v>
      </c>
    </row>
    <row r="5" spans="2:4" x14ac:dyDescent="0.3">
      <c r="B5" s="2" t="s">
        <v>127</v>
      </c>
      <c r="C5" s="2" t="s">
        <v>12</v>
      </c>
      <c r="D5" s="2" t="s">
        <v>78</v>
      </c>
    </row>
    <row r="6" spans="2:4" x14ac:dyDescent="0.3">
      <c r="B6" s="2" t="s">
        <v>128</v>
      </c>
      <c r="C6" s="2" t="s">
        <v>16</v>
      </c>
      <c r="D6" s="2" t="s">
        <v>83</v>
      </c>
    </row>
    <row r="7" spans="2:4" x14ac:dyDescent="0.3">
      <c r="B7" s="2" t="s">
        <v>128</v>
      </c>
      <c r="C7" s="2" t="s">
        <v>222</v>
      </c>
      <c r="D7" s="2" t="s">
        <v>83</v>
      </c>
    </row>
    <row r="8" spans="2:4" x14ac:dyDescent="0.3">
      <c r="B8" s="2" t="s">
        <v>128</v>
      </c>
      <c r="C8" s="2" t="s">
        <v>224</v>
      </c>
      <c r="D8" s="2" t="s">
        <v>83</v>
      </c>
    </row>
    <row r="9" spans="2:4" x14ac:dyDescent="0.3">
      <c r="B9" s="2" t="s">
        <v>129</v>
      </c>
      <c r="C9" s="2" t="s">
        <v>18</v>
      </c>
      <c r="D9" s="2" t="s">
        <v>86</v>
      </c>
    </row>
    <row r="10" spans="2:4" x14ac:dyDescent="0.3">
      <c r="B10" s="2" t="s">
        <v>130</v>
      </c>
      <c r="C10" s="2" t="s">
        <v>10</v>
      </c>
      <c r="D10" s="2" t="s">
        <v>390</v>
      </c>
    </row>
    <row r="11" spans="2:4" x14ac:dyDescent="0.3">
      <c r="B11" s="2" t="s">
        <v>140</v>
      </c>
      <c r="C11" s="2" t="s">
        <v>32</v>
      </c>
      <c r="D11" s="2" t="s">
        <v>97</v>
      </c>
    </row>
    <row r="12" spans="2:4" x14ac:dyDescent="0.3">
      <c r="B12" s="2" t="s">
        <v>131</v>
      </c>
      <c r="C12" s="2" t="s">
        <v>100</v>
      </c>
      <c r="D12" s="2" t="s">
        <v>100</v>
      </c>
    </row>
    <row r="13" spans="2:4" x14ac:dyDescent="0.3">
      <c r="B13" s="2" t="s">
        <v>132</v>
      </c>
      <c r="C13" s="2" t="s">
        <v>22</v>
      </c>
      <c r="D13" s="2" t="s">
        <v>103</v>
      </c>
    </row>
    <row r="14" spans="2:4" x14ac:dyDescent="0.3">
      <c r="B14" s="2" t="s">
        <v>133</v>
      </c>
      <c r="C14" s="2" t="s">
        <v>29</v>
      </c>
      <c r="D14" s="2" t="s">
        <v>105</v>
      </c>
    </row>
    <row r="15" spans="2:4" x14ac:dyDescent="0.3">
      <c r="B15" s="2" t="s">
        <v>134</v>
      </c>
      <c r="C15" s="2" t="s">
        <v>27</v>
      </c>
      <c r="D15" s="2" t="s">
        <v>108</v>
      </c>
    </row>
    <row r="16" spans="2:4" x14ac:dyDescent="0.3">
      <c r="B16" s="2" t="s">
        <v>135</v>
      </c>
      <c r="C16" s="2" t="s">
        <v>109</v>
      </c>
      <c r="D16" s="2" t="s">
        <v>110</v>
      </c>
    </row>
    <row r="17" spans="2:4" x14ac:dyDescent="0.3">
      <c r="B17" s="2" t="s">
        <v>136</v>
      </c>
      <c r="C17" s="2" t="s">
        <v>25</v>
      </c>
      <c r="D17" s="2" t="s">
        <v>112</v>
      </c>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G65"/>
  <sheetViews>
    <sheetView workbookViewId="0">
      <selection activeCell="H46" sqref="H46"/>
    </sheetView>
  </sheetViews>
  <sheetFormatPr baseColWidth="10" defaultColWidth="11.44140625" defaultRowHeight="14.4" x14ac:dyDescent="0.3"/>
  <cols>
    <col min="1" max="1" width="62.21875" bestFit="1" customWidth="1"/>
    <col min="2" max="2" width="14.77734375" customWidth="1"/>
    <col min="3" max="3" width="19.44140625" style="27" bestFit="1" customWidth="1"/>
    <col min="4" max="4" width="14" bestFit="1" customWidth="1"/>
    <col min="5" max="5" width="13.77734375" bestFit="1" customWidth="1"/>
  </cols>
  <sheetData>
    <row r="1" spans="1:6" s="26" customFormat="1" x14ac:dyDescent="0.3">
      <c r="A1" s="87" t="s">
        <v>0</v>
      </c>
      <c r="B1" s="87" t="s">
        <v>137</v>
      </c>
      <c r="C1" s="112" t="s">
        <v>490</v>
      </c>
      <c r="D1" s="87" t="s">
        <v>444</v>
      </c>
      <c r="E1" s="87" t="s">
        <v>138</v>
      </c>
      <c r="F1" s="87" t="s">
        <v>448</v>
      </c>
    </row>
    <row r="2" spans="1:6" s="26" customFormat="1" x14ac:dyDescent="0.3">
      <c r="A2" s="88" t="s">
        <v>451</v>
      </c>
      <c r="B2" s="88" t="s">
        <v>504</v>
      </c>
      <c r="C2" s="113" t="s">
        <v>310</v>
      </c>
      <c r="D2" s="88" t="s">
        <v>447</v>
      </c>
      <c r="E2" s="88" t="s">
        <v>440</v>
      </c>
      <c r="F2" s="88">
        <v>1</v>
      </c>
    </row>
    <row r="3" spans="1:6" s="26" customFormat="1" x14ac:dyDescent="0.3">
      <c r="A3" s="89" t="s">
        <v>451</v>
      </c>
      <c r="B3" s="89" t="s">
        <v>502</v>
      </c>
      <c r="C3" s="114" t="s">
        <v>310</v>
      </c>
      <c r="D3" s="89" t="s">
        <v>447</v>
      </c>
      <c r="E3" s="89" t="s">
        <v>440</v>
      </c>
      <c r="F3" s="89"/>
    </row>
    <row r="4" spans="1:6" x14ac:dyDescent="0.3">
      <c r="A4" s="89" t="s">
        <v>451</v>
      </c>
      <c r="B4" s="89" t="s">
        <v>509</v>
      </c>
      <c r="C4" s="114" t="s">
        <v>531</v>
      </c>
      <c r="D4" s="89" t="s">
        <v>447</v>
      </c>
      <c r="E4" s="89" t="s">
        <v>440</v>
      </c>
      <c r="F4" s="89"/>
    </row>
    <row r="5" spans="1:6" x14ac:dyDescent="0.3">
      <c r="A5" s="90" t="s">
        <v>451</v>
      </c>
      <c r="B5" s="90" t="s">
        <v>443</v>
      </c>
      <c r="C5" s="115" t="s">
        <v>310</v>
      </c>
      <c r="D5" s="90" t="s">
        <v>447</v>
      </c>
      <c r="E5" s="90" t="s">
        <v>440</v>
      </c>
      <c r="F5" s="90">
        <v>2</v>
      </c>
    </row>
    <row r="6" spans="1:6" x14ac:dyDescent="0.3">
      <c r="A6" s="92" t="s">
        <v>451</v>
      </c>
      <c r="B6" s="92" t="s">
        <v>503</v>
      </c>
      <c r="C6" s="116" t="s">
        <v>310</v>
      </c>
      <c r="D6" s="92" t="s">
        <v>447</v>
      </c>
      <c r="E6" s="92" t="s">
        <v>440</v>
      </c>
      <c r="F6" s="92">
        <v>4</v>
      </c>
    </row>
    <row r="7" spans="1:6" x14ac:dyDescent="0.3">
      <c r="A7" s="95" t="s">
        <v>451</v>
      </c>
      <c r="B7" s="95" t="s">
        <v>501</v>
      </c>
      <c r="C7" s="117" t="s">
        <v>157</v>
      </c>
      <c r="D7" s="95" t="s">
        <v>447</v>
      </c>
      <c r="E7" s="95" t="s">
        <v>440</v>
      </c>
      <c r="F7" s="95">
        <v>7</v>
      </c>
    </row>
    <row r="8" spans="1:6" x14ac:dyDescent="0.3">
      <c r="A8" s="96" t="s">
        <v>451</v>
      </c>
      <c r="B8" s="96" t="s">
        <v>492</v>
      </c>
      <c r="C8" s="118" t="s">
        <v>310</v>
      </c>
      <c r="D8" s="96" t="s">
        <v>447</v>
      </c>
      <c r="E8" s="96" t="s">
        <v>440</v>
      </c>
      <c r="F8" s="96">
        <v>8</v>
      </c>
    </row>
    <row r="9" spans="1:6" s="26" customFormat="1" x14ac:dyDescent="0.3">
      <c r="A9" s="97" t="s">
        <v>451</v>
      </c>
      <c r="B9" s="97" t="s">
        <v>505</v>
      </c>
      <c r="C9" s="119" t="s">
        <v>310</v>
      </c>
      <c r="D9" s="97" t="s">
        <v>447</v>
      </c>
      <c r="E9" s="97" t="s">
        <v>440</v>
      </c>
      <c r="F9" s="97">
        <v>9</v>
      </c>
    </row>
    <row r="10" spans="1:6" s="26" customFormat="1" x14ac:dyDescent="0.3">
      <c r="A10" s="98" t="s">
        <v>451</v>
      </c>
      <c r="B10" s="98" t="s">
        <v>506</v>
      </c>
      <c r="C10" s="120" t="s">
        <v>310</v>
      </c>
      <c r="D10" s="98" t="s">
        <v>447</v>
      </c>
      <c r="E10" s="98" t="s">
        <v>440</v>
      </c>
      <c r="F10" s="98">
        <v>10</v>
      </c>
    </row>
    <row r="11" spans="1:6" s="26" customFormat="1" x14ac:dyDescent="0.3">
      <c r="A11" s="100" t="s">
        <v>451</v>
      </c>
      <c r="B11" s="100" t="s">
        <v>491</v>
      </c>
      <c r="C11" s="121" t="s">
        <v>310</v>
      </c>
      <c r="D11" s="100" t="s">
        <v>447</v>
      </c>
      <c r="E11" s="100" t="s">
        <v>440</v>
      </c>
      <c r="F11" s="100">
        <v>11</v>
      </c>
    </row>
    <row r="12" spans="1:6" s="26" customFormat="1" x14ac:dyDescent="0.3">
      <c r="A12" s="89" t="s">
        <v>451</v>
      </c>
      <c r="B12" s="89" t="s">
        <v>507</v>
      </c>
      <c r="C12" s="114" t="s">
        <v>310</v>
      </c>
      <c r="D12" s="89" t="s">
        <v>447</v>
      </c>
      <c r="E12" s="89" t="s">
        <v>440</v>
      </c>
      <c r="F12" s="89"/>
    </row>
    <row r="13" spans="1:6" s="26" customFormat="1" x14ac:dyDescent="0.3">
      <c r="A13" s="101" t="s">
        <v>451</v>
      </c>
      <c r="B13" s="101" t="s">
        <v>495</v>
      </c>
      <c r="C13" s="122" t="s">
        <v>310</v>
      </c>
      <c r="D13" s="101" t="s">
        <v>447</v>
      </c>
      <c r="E13" s="101" t="s">
        <v>440</v>
      </c>
      <c r="F13" s="101">
        <v>12</v>
      </c>
    </row>
    <row r="14" spans="1:6" s="26" customFormat="1" x14ac:dyDescent="0.3">
      <c r="A14" s="89" t="s">
        <v>451</v>
      </c>
      <c r="B14" s="89" t="s">
        <v>139</v>
      </c>
      <c r="C14" s="114" t="s">
        <v>542</v>
      </c>
      <c r="D14" s="89" t="s">
        <v>447</v>
      </c>
      <c r="E14" s="89" t="s">
        <v>442</v>
      </c>
      <c r="F14" s="89"/>
    </row>
    <row r="15" spans="1:6" s="26" customFormat="1" x14ac:dyDescent="0.3">
      <c r="A15" s="89" t="s">
        <v>451</v>
      </c>
      <c r="B15" s="89" t="s">
        <v>486</v>
      </c>
      <c r="C15" s="114" t="s">
        <v>310</v>
      </c>
      <c r="D15" s="89" t="s">
        <v>447</v>
      </c>
      <c r="E15" s="89" t="s">
        <v>440</v>
      </c>
      <c r="F15" s="89"/>
    </row>
    <row r="16" spans="1:6" s="26" customFormat="1" x14ac:dyDescent="0.3">
      <c r="A16" s="103" t="s">
        <v>451</v>
      </c>
      <c r="B16" s="103" t="s">
        <v>508</v>
      </c>
      <c r="C16" s="123" t="s">
        <v>310</v>
      </c>
      <c r="D16" s="103" t="s">
        <v>447</v>
      </c>
      <c r="E16" s="103" t="s">
        <v>440</v>
      </c>
      <c r="F16" s="103">
        <v>14</v>
      </c>
    </row>
    <row r="17" spans="1:6" x14ac:dyDescent="0.3">
      <c r="A17" s="89" t="s">
        <v>451</v>
      </c>
      <c r="B17" s="89" t="s">
        <v>445</v>
      </c>
      <c r="C17" s="124">
        <v>46001</v>
      </c>
      <c r="D17" s="89" t="s">
        <v>447</v>
      </c>
      <c r="E17" s="89" t="s">
        <v>442</v>
      </c>
      <c r="F17" s="89"/>
    </row>
    <row r="18" spans="1:6" s="26" customFormat="1" x14ac:dyDescent="0.3">
      <c r="A18" s="89" t="s">
        <v>451</v>
      </c>
      <c r="B18" s="89" t="s">
        <v>500</v>
      </c>
      <c r="C18" s="114" t="s">
        <v>310</v>
      </c>
      <c r="D18" s="89" t="s">
        <v>447</v>
      </c>
      <c r="E18" s="89" t="s">
        <v>440</v>
      </c>
      <c r="F18" s="89"/>
    </row>
    <row r="19" spans="1:6" s="26" customFormat="1" x14ac:dyDescent="0.3">
      <c r="A19" s="89" t="s">
        <v>451</v>
      </c>
      <c r="B19" s="89" t="s">
        <v>496</v>
      </c>
      <c r="C19" s="114" t="s">
        <v>541</v>
      </c>
      <c r="D19" s="89" t="s">
        <v>447</v>
      </c>
      <c r="E19" s="89" t="s">
        <v>440</v>
      </c>
      <c r="F19" s="89"/>
    </row>
    <row r="20" spans="1:6" s="26" customFormat="1" x14ac:dyDescent="0.3">
      <c r="A20" s="89" t="s">
        <v>451</v>
      </c>
      <c r="B20" s="89" t="s">
        <v>497</v>
      </c>
      <c r="C20" s="114" t="s">
        <v>541</v>
      </c>
      <c r="D20" s="89" t="s">
        <v>447</v>
      </c>
      <c r="E20" s="89" t="s">
        <v>440</v>
      </c>
      <c r="F20" s="89"/>
    </row>
    <row r="21" spans="1:6" s="26" customFormat="1" x14ac:dyDescent="0.3">
      <c r="A21" s="104" t="s">
        <v>451</v>
      </c>
      <c r="B21" s="104" t="s">
        <v>493</v>
      </c>
      <c r="C21" s="125" t="s">
        <v>310</v>
      </c>
      <c r="D21" s="104" t="s">
        <v>447</v>
      </c>
      <c r="E21" s="104" t="s">
        <v>440</v>
      </c>
      <c r="F21" s="104">
        <v>15</v>
      </c>
    </row>
    <row r="22" spans="1:6" x14ac:dyDescent="0.3">
      <c r="A22" s="89" t="s">
        <v>451</v>
      </c>
      <c r="B22" s="89" t="s">
        <v>499</v>
      </c>
      <c r="C22" s="114" t="s">
        <v>498</v>
      </c>
      <c r="D22" s="89" t="s">
        <v>447</v>
      </c>
      <c r="E22" s="89" t="s">
        <v>442</v>
      </c>
      <c r="F22" s="89"/>
    </row>
    <row r="23" spans="1:6" ht="15" customHeight="1" x14ac:dyDescent="0.3">
      <c r="A23" s="89" t="s">
        <v>452</v>
      </c>
      <c r="B23" s="89" t="s">
        <v>510</v>
      </c>
      <c r="C23" s="114" t="s">
        <v>515</v>
      </c>
      <c r="D23" s="89" t="s">
        <v>447</v>
      </c>
      <c r="E23" s="89" t="s">
        <v>440</v>
      </c>
      <c r="F23" s="89"/>
    </row>
    <row r="24" spans="1:6" ht="15" customHeight="1" x14ac:dyDescent="0.3">
      <c r="A24" s="92" t="s">
        <v>452</v>
      </c>
      <c r="B24" s="92" t="s">
        <v>503</v>
      </c>
      <c r="C24" s="116" t="s">
        <v>515</v>
      </c>
      <c r="D24" s="92" t="s">
        <v>447</v>
      </c>
      <c r="E24" s="92" t="s">
        <v>440</v>
      </c>
      <c r="F24" s="92">
        <v>4</v>
      </c>
    </row>
    <row r="25" spans="1:6" x14ac:dyDescent="0.3">
      <c r="A25" s="89" t="s">
        <v>449</v>
      </c>
      <c r="B25" s="89" t="s">
        <v>441</v>
      </c>
      <c r="C25" s="114" t="s">
        <v>310</v>
      </c>
      <c r="D25" s="89" t="s">
        <v>447</v>
      </c>
      <c r="E25" s="89" t="s">
        <v>440</v>
      </c>
      <c r="F25" s="89"/>
    </row>
    <row r="26" spans="1:6" s="26" customFormat="1" x14ac:dyDescent="0.3">
      <c r="A26" s="96" t="s">
        <v>449</v>
      </c>
      <c r="B26" s="96" t="s">
        <v>492</v>
      </c>
      <c r="C26" s="118" t="s">
        <v>310</v>
      </c>
      <c r="D26" s="96" t="s">
        <v>447</v>
      </c>
      <c r="E26" s="96" t="s">
        <v>440</v>
      </c>
      <c r="F26" s="96">
        <v>8</v>
      </c>
    </row>
    <row r="27" spans="1:6" s="26" customFormat="1" x14ac:dyDescent="0.3">
      <c r="A27" s="100" t="s">
        <v>449</v>
      </c>
      <c r="B27" s="100" t="s">
        <v>491</v>
      </c>
      <c r="C27" s="121" t="s">
        <v>310</v>
      </c>
      <c r="D27" s="100" t="s">
        <v>447</v>
      </c>
      <c r="E27" s="100" t="s">
        <v>440</v>
      </c>
      <c r="F27" s="100">
        <v>11</v>
      </c>
    </row>
    <row r="28" spans="1:6" s="26" customFormat="1" ht="15" customHeight="1" x14ac:dyDescent="0.3">
      <c r="A28" s="90" t="s">
        <v>489</v>
      </c>
      <c r="B28" s="90" t="s">
        <v>443</v>
      </c>
      <c r="C28" s="115" t="s">
        <v>515</v>
      </c>
      <c r="D28" s="90" t="s">
        <v>447</v>
      </c>
      <c r="E28" s="90" t="s">
        <v>440</v>
      </c>
      <c r="F28" s="90">
        <v>2</v>
      </c>
    </row>
    <row r="29" spans="1:6" s="26" customFormat="1" x14ac:dyDescent="0.3">
      <c r="A29" s="90" t="s">
        <v>338</v>
      </c>
      <c r="B29" s="90" t="s">
        <v>443</v>
      </c>
      <c r="C29" s="115" t="s">
        <v>310</v>
      </c>
      <c r="D29" s="90" t="s">
        <v>447</v>
      </c>
      <c r="E29" s="90" t="s">
        <v>440</v>
      </c>
      <c r="F29" s="90">
        <v>2</v>
      </c>
    </row>
    <row r="30" spans="1:6" s="26" customFormat="1" x14ac:dyDescent="0.3">
      <c r="A30" s="97" t="s">
        <v>338</v>
      </c>
      <c r="B30" s="97" t="s">
        <v>505</v>
      </c>
      <c r="C30" s="119" t="s">
        <v>310</v>
      </c>
      <c r="D30" s="97" t="s">
        <v>447</v>
      </c>
      <c r="E30" s="97" t="s">
        <v>440</v>
      </c>
      <c r="F30" s="97">
        <v>9</v>
      </c>
    </row>
    <row r="31" spans="1:6" s="26" customFormat="1" x14ac:dyDescent="0.3">
      <c r="A31" s="101" t="s">
        <v>338</v>
      </c>
      <c r="B31" s="101" t="s">
        <v>495</v>
      </c>
      <c r="C31" s="122" t="s">
        <v>310</v>
      </c>
      <c r="D31" s="101" t="s">
        <v>447</v>
      </c>
      <c r="E31" s="101" t="s">
        <v>440</v>
      </c>
      <c r="F31" s="101">
        <v>12</v>
      </c>
    </row>
    <row r="32" spans="1:6" x14ac:dyDescent="0.3">
      <c r="A32" s="102" t="s">
        <v>338</v>
      </c>
      <c r="B32" s="102" t="s">
        <v>87</v>
      </c>
      <c r="C32" s="126" t="s">
        <v>310</v>
      </c>
      <c r="D32" s="102" t="s">
        <v>447</v>
      </c>
      <c r="E32" s="102" t="s">
        <v>440</v>
      </c>
      <c r="F32" s="102">
        <v>13</v>
      </c>
    </row>
    <row r="33" spans="1:7" s="26" customFormat="1" x14ac:dyDescent="0.3">
      <c r="A33" s="104" t="s">
        <v>338</v>
      </c>
      <c r="B33" s="104" t="s">
        <v>493</v>
      </c>
      <c r="C33" s="125" t="s">
        <v>310</v>
      </c>
      <c r="D33" s="104" t="s">
        <v>447</v>
      </c>
      <c r="E33" s="104" t="s">
        <v>440</v>
      </c>
      <c r="F33" s="104">
        <v>15</v>
      </c>
    </row>
    <row r="34" spans="1:7" s="26" customFormat="1" x14ac:dyDescent="0.3">
      <c r="A34" s="105" t="s">
        <v>338</v>
      </c>
      <c r="B34" s="105" t="s">
        <v>446</v>
      </c>
      <c r="C34" s="127" t="s">
        <v>310</v>
      </c>
      <c r="D34" s="105" t="s">
        <v>447</v>
      </c>
      <c r="E34" s="105" t="s">
        <v>440</v>
      </c>
      <c r="F34" s="105">
        <v>16</v>
      </c>
    </row>
    <row r="35" spans="1:7" s="26" customFormat="1" ht="15" customHeight="1" x14ac:dyDescent="0.3">
      <c r="A35" s="89" t="s">
        <v>545</v>
      </c>
      <c r="B35" s="89" t="s">
        <v>546</v>
      </c>
      <c r="C35" s="114" t="s">
        <v>511</v>
      </c>
      <c r="D35" s="89" t="s">
        <v>447</v>
      </c>
      <c r="E35" s="89" t="s">
        <v>442</v>
      </c>
      <c r="F35" s="89"/>
    </row>
    <row r="36" spans="1:7" s="26" customFormat="1" ht="15" customHeight="1" x14ac:dyDescent="0.3">
      <c r="A36" s="89" t="s">
        <v>545</v>
      </c>
      <c r="B36" s="89" t="s">
        <v>547</v>
      </c>
      <c r="C36" s="114" t="s">
        <v>511</v>
      </c>
      <c r="D36" s="89" t="s">
        <v>447</v>
      </c>
      <c r="E36" s="89" t="s">
        <v>442</v>
      </c>
      <c r="F36" s="89"/>
    </row>
    <row r="37" spans="1:7" ht="15" customHeight="1" x14ac:dyDescent="0.35">
      <c r="A37" s="106" t="s">
        <v>545</v>
      </c>
      <c r="B37" s="106" t="s">
        <v>519</v>
      </c>
      <c r="C37" s="128" t="s">
        <v>511</v>
      </c>
      <c r="D37" s="106" t="s">
        <v>447</v>
      </c>
      <c r="E37" s="106" t="s">
        <v>440</v>
      </c>
      <c r="F37" s="106">
        <v>17</v>
      </c>
      <c r="G37" s="137" t="s">
        <v>548</v>
      </c>
    </row>
    <row r="38" spans="1:7" s="26" customFormat="1" ht="15" customHeight="1" x14ac:dyDescent="0.35">
      <c r="A38" s="93" t="s">
        <v>485</v>
      </c>
      <c r="B38" s="93" t="s">
        <v>516</v>
      </c>
      <c r="C38" s="129">
        <v>46000</v>
      </c>
      <c r="D38" s="93" t="s">
        <v>447</v>
      </c>
      <c r="E38" s="93" t="s">
        <v>440</v>
      </c>
      <c r="F38" s="93">
        <v>5</v>
      </c>
      <c r="G38" s="137"/>
    </row>
    <row r="39" spans="1:7" s="26" customFormat="1" ht="15" customHeight="1" x14ac:dyDescent="0.3">
      <c r="A39" s="89" t="s">
        <v>485</v>
      </c>
      <c r="B39" s="89" t="s">
        <v>521</v>
      </c>
      <c r="C39" s="124">
        <v>46000</v>
      </c>
      <c r="D39" s="89" t="s">
        <v>447</v>
      </c>
      <c r="E39" s="89" t="s">
        <v>440</v>
      </c>
      <c r="F39" s="89"/>
    </row>
    <row r="40" spans="1:7" s="26" customFormat="1" ht="15" customHeight="1" x14ac:dyDescent="0.3">
      <c r="A40" s="89" t="s">
        <v>485</v>
      </c>
      <c r="B40" s="89" t="s">
        <v>522</v>
      </c>
      <c r="C40" s="124">
        <v>46000</v>
      </c>
      <c r="D40" s="89" t="s">
        <v>447</v>
      </c>
      <c r="E40" s="89" t="s">
        <v>440</v>
      </c>
      <c r="F40" s="89"/>
    </row>
    <row r="41" spans="1:7" s="26" customFormat="1" ht="15" customHeight="1" x14ac:dyDescent="0.3">
      <c r="A41" s="107" t="s">
        <v>485</v>
      </c>
      <c r="B41" s="107" t="s">
        <v>518</v>
      </c>
      <c r="C41" s="130">
        <v>46000</v>
      </c>
      <c r="D41" s="107" t="s">
        <v>447</v>
      </c>
      <c r="E41" s="107" t="s">
        <v>440</v>
      </c>
      <c r="F41" s="107">
        <v>18</v>
      </c>
    </row>
    <row r="42" spans="1:7" ht="15" customHeight="1" x14ac:dyDescent="0.35">
      <c r="A42" s="93" t="s">
        <v>543</v>
      </c>
      <c r="B42" s="93" t="s">
        <v>516</v>
      </c>
      <c r="C42" s="131" t="s">
        <v>515</v>
      </c>
      <c r="D42" s="93" t="s">
        <v>447</v>
      </c>
      <c r="E42" s="93" t="s">
        <v>440</v>
      </c>
      <c r="F42" s="93">
        <v>5</v>
      </c>
      <c r="G42" s="137"/>
    </row>
    <row r="43" spans="1:7" ht="15" customHeight="1" x14ac:dyDescent="0.35">
      <c r="A43" s="94" t="s">
        <v>543</v>
      </c>
      <c r="B43" s="94" t="s">
        <v>513</v>
      </c>
      <c r="C43" s="132" t="s">
        <v>515</v>
      </c>
      <c r="D43" s="94" t="s">
        <v>447</v>
      </c>
      <c r="E43" s="94" t="s">
        <v>440</v>
      </c>
      <c r="F43" s="94">
        <v>6</v>
      </c>
      <c r="G43" s="137"/>
    </row>
    <row r="44" spans="1:7" s="26" customFormat="1" ht="15" customHeight="1" x14ac:dyDescent="0.3">
      <c r="A44" s="89" t="s">
        <v>543</v>
      </c>
      <c r="B44" s="89" t="s">
        <v>517</v>
      </c>
      <c r="C44" s="114" t="s">
        <v>515</v>
      </c>
      <c r="D44" s="89" t="s">
        <v>447</v>
      </c>
      <c r="E44" s="89" t="s">
        <v>440</v>
      </c>
      <c r="F44" s="89"/>
    </row>
    <row r="45" spans="1:7" s="26" customFormat="1" ht="15" customHeight="1" x14ac:dyDescent="0.3">
      <c r="A45" s="102" t="s">
        <v>543</v>
      </c>
      <c r="B45" s="102" t="s">
        <v>87</v>
      </c>
      <c r="C45" s="126" t="s">
        <v>515</v>
      </c>
      <c r="D45" s="102" t="s">
        <v>447</v>
      </c>
      <c r="E45" s="102" t="s">
        <v>440</v>
      </c>
      <c r="F45" s="102">
        <v>13</v>
      </c>
    </row>
    <row r="46" spans="1:7" s="26" customFormat="1" ht="15" customHeight="1" x14ac:dyDescent="0.3">
      <c r="A46" s="105" t="s">
        <v>543</v>
      </c>
      <c r="B46" s="105" t="s">
        <v>446</v>
      </c>
      <c r="C46" s="127" t="s">
        <v>515</v>
      </c>
      <c r="D46" s="105" t="s">
        <v>447</v>
      </c>
      <c r="E46" s="105" t="s">
        <v>440</v>
      </c>
      <c r="F46" s="105">
        <v>16</v>
      </c>
    </row>
    <row r="47" spans="1:7" s="26" customFormat="1" x14ac:dyDescent="0.3">
      <c r="A47" s="95" t="s">
        <v>300</v>
      </c>
      <c r="B47" s="95" t="s">
        <v>501</v>
      </c>
      <c r="C47" s="117" t="s">
        <v>310</v>
      </c>
      <c r="D47" s="95" t="s">
        <v>447</v>
      </c>
      <c r="E47" s="95" t="s">
        <v>440</v>
      </c>
      <c r="F47" s="95">
        <v>7</v>
      </c>
    </row>
    <row r="48" spans="1:7" s="26" customFormat="1" x14ac:dyDescent="0.3">
      <c r="A48" s="99" t="s">
        <v>300</v>
      </c>
      <c r="B48" s="99" t="s">
        <v>506</v>
      </c>
      <c r="C48" s="133" t="s">
        <v>310</v>
      </c>
      <c r="D48" s="99" t="s">
        <v>447</v>
      </c>
      <c r="E48" s="99" t="s">
        <v>440</v>
      </c>
      <c r="F48" s="99">
        <v>10</v>
      </c>
    </row>
    <row r="49" spans="1:7" s="26" customFormat="1" x14ac:dyDescent="0.3">
      <c r="A49" s="104" t="s">
        <v>300</v>
      </c>
      <c r="B49" s="104" t="s">
        <v>493</v>
      </c>
      <c r="C49" s="125" t="s">
        <v>310</v>
      </c>
      <c r="D49" s="104" t="s">
        <v>447</v>
      </c>
      <c r="E49" s="104" t="s">
        <v>440</v>
      </c>
      <c r="F49" s="104">
        <v>15</v>
      </c>
    </row>
    <row r="50" spans="1:7" ht="15" customHeight="1" x14ac:dyDescent="0.35">
      <c r="A50" s="94" t="s">
        <v>488</v>
      </c>
      <c r="B50" s="94" t="s">
        <v>513</v>
      </c>
      <c r="C50" s="134">
        <v>46000</v>
      </c>
      <c r="D50" s="94" t="s">
        <v>447</v>
      </c>
      <c r="E50" s="94" t="s">
        <v>440</v>
      </c>
      <c r="F50" s="94">
        <v>6</v>
      </c>
      <c r="G50" s="137"/>
    </row>
    <row r="51" spans="1:7" ht="15" customHeight="1" x14ac:dyDescent="0.3">
      <c r="A51" s="89" t="s">
        <v>488</v>
      </c>
      <c r="B51" s="89" t="s">
        <v>514</v>
      </c>
      <c r="C51" s="124">
        <v>46000</v>
      </c>
      <c r="D51" s="89" t="s">
        <v>447</v>
      </c>
      <c r="E51" s="89" t="s">
        <v>440</v>
      </c>
      <c r="F51" s="89"/>
    </row>
    <row r="52" spans="1:7" x14ac:dyDescent="0.3">
      <c r="A52" s="90" t="s">
        <v>450</v>
      </c>
      <c r="B52" s="90" t="s">
        <v>443</v>
      </c>
      <c r="C52" s="115" t="s">
        <v>310</v>
      </c>
      <c r="D52" s="90" t="s">
        <v>447</v>
      </c>
      <c r="E52" s="90" t="s">
        <v>440</v>
      </c>
      <c r="F52" s="90">
        <v>2</v>
      </c>
    </row>
    <row r="53" spans="1:7" x14ac:dyDescent="0.3">
      <c r="A53" s="91" t="s">
        <v>450</v>
      </c>
      <c r="B53" s="91" t="s">
        <v>494</v>
      </c>
      <c r="C53" s="135" t="s">
        <v>310</v>
      </c>
      <c r="D53" s="91" t="s">
        <v>447</v>
      </c>
      <c r="E53" s="91" t="s">
        <v>440</v>
      </c>
      <c r="F53" s="91">
        <v>3</v>
      </c>
    </row>
    <row r="54" spans="1:7" x14ac:dyDescent="0.3">
      <c r="A54" s="101" t="s">
        <v>450</v>
      </c>
      <c r="B54" s="101" t="s">
        <v>495</v>
      </c>
      <c r="C54" s="122" t="s">
        <v>310</v>
      </c>
      <c r="D54" s="101" t="s">
        <v>447</v>
      </c>
      <c r="E54" s="101" t="s">
        <v>440</v>
      </c>
      <c r="F54" s="101">
        <v>12</v>
      </c>
    </row>
    <row r="55" spans="1:7" s="26" customFormat="1" x14ac:dyDescent="0.3">
      <c r="A55" s="102" t="s">
        <v>450</v>
      </c>
      <c r="B55" s="102" t="s">
        <v>87</v>
      </c>
      <c r="C55" s="126" t="s">
        <v>310</v>
      </c>
      <c r="D55" s="102" t="s">
        <v>447</v>
      </c>
      <c r="E55" s="102" t="s">
        <v>440</v>
      </c>
      <c r="F55" s="102">
        <v>13</v>
      </c>
    </row>
    <row r="56" spans="1:7" s="26" customFormat="1" x14ac:dyDescent="0.3">
      <c r="A56" s="104" t="s">
        <v>450</v>
      </c>
      <c r="B56" s="104" t="s">
        <v>493</v>
      </c>
      <c r="C56" s="125" t="s">
        <v>310</v>
      </c>
      <c r="D56" s="104" t="s">
        <v>447</v>
      </c>
      <c r="E56" s="104" t="s">
        <v>440</v>
      </c>
      <c r="F56" s="104">
        <v>15</v>
      </c>
    </row>
    <row r="57" spans="1:7" s="26" customFormat="1" ht="15" customHeight="1" x14ac:dyDescent="0.3">
      <c r="A57" s="88" t="s">
        <v>487</v>
      </c>
      <c r="B57" s="88" t="s">
        <v>504</v>
      </c>
      <c r="C57" s="113" t="s">
        <v>512</v>
      </c>
      <c r="D57" s="88" t="s">
        <v>447</v>
      </c>
      <c r="E57" s="88" t="s">
        <v>440</v>
      </c>
      <c r="F57" s="88">
        <v>1</v>
      </c>
    </row>
    <row r="58" spans="1:7" s="26" customFormat="1" ht="15" customHeight="1" x14ac:dyDescent="0.3">
      <c r="A58" s="91" t="s">
        <v>487</v>
      </c>
      <c r="B58" s="91" t="s">
        <v>494</v>
      </c>
      <c r="C58" s="135" t="s">
        <v>512</v>
      </c>
      <c r="D58" s="91" t="s">
        <v>447</v>
      </c>
      <c r="E58" s="91" t="s">
        <v>440</v>
      </c>
      <c r="F58" s="91">
        <v>3</v>
      </c>
    </row>
    <row r="59" spans="1:7" s="26" customFormat="1" ht="15" customHeight="1" x14ac:dyDescent="0.3">
      <c r="A59" s="101" t="s">
        <v>487</v>
      </c>
      <c r="B59" s="101" t="s">
        <v>495</v>
      </c>
      <c r="C59" s="122" t="s">
        <v>512</v>
      </c>
      <c r="D59" s="101" t="s">
        <v>447</v>
      </c>
      <c r="E59" s="101" t="s">
        <v>440</v>
      </c>
      <c r="F59" s="101">
        <v>12</v>
      </c>
    </row>
    <row r="60" spans="1:7" s="26" customFormat="1" ht="15" customHeight="1" x14ac:dyDescent="0.3">
      <c r="A60" s="102" t="s">
        <v>487</v>
      </c>
      <c r="B60" s="102" t="s">
        <v>87</v>
      </c>
      <c r="C60" s="126" t="s">
        <v>512</v>
      </c>
      <c r="D60" s="102" t="s">
        <v>447</v>
      </c>
      <c r="E60" s="102" t="s">
        <v>440</v>
      </c>
      <c r="F60" s="102">
        <v>13</v>
      </c>
    </row>
    <row r="61" spans="1:7" s="26" customFormat="1" ht="15" customHeight="1" x14ac:dyDescent="0.3">
      <c r="A61" s="103" t="s">
        <v>487</v>
      </c>
      <c r="B61" s="103" t="s">
        <v>508</v>
      </c>
      <c r="C61" s="123" t="s">
        <v>512</v>
      </c>
      <c r="D61" s="103" t="s">
        <v>447</v>
      </c>
      <c r="E61" s="103" t="s">
        <v>440</v>
      </c>
      <c r="F61" s="103">
        <v>14</v>
      </c>
    </row>
    <row r="62" spans="1:7" s="26" customFormat="1" ht="15" customHeight="1" x14ac:dyDescent="0.3">
      <c r="A62" s="89" t="s">
        <v>525</v>
      </c>
      <c r="B62" s="89" t="s">
        <v>532</v>
      </c>
      <c r="C62" s="114" t="s">
        <v>515</v>
      </c>
      <c r="D62" s="89" t="s">
        <v>447</v>
      </c>
      <c r="E62" s="89" t="s">
        <v>440</v>
      </c>
      <c r="F62" s="89"/>
    </row>
    <row r="63" spans="1:7" s="26" customFormat="1" ht="15" customHeight="1" x14ac:dyDescent="0.3">
      <c r="A63" s="89" t="s">
        <v>544</v>
      </c>
      <c r="B63" s="89" t="s">
        <v>520</v>
      </c>
      <c r="C63" s="114" t="s">
        <v>515</v>
      </c>
      <c r="D63" s="89" t="s">
        <v>447</v>
      </c>
      <c r="E63" s="89" t="s">
        <v>440</v>
      </c>
      <c r="F63" s="89"/>
    </row>
    <row r="64" spans="1:7" s="26" customFormat="1" ht="15" customHeight="1" x14ac:dyDescent="0.35">
      <c r="A64" s="106" t="s">
        <v>544</v>
      </c>
      <c r="B64" s="106" t="s">
        <v>519</v>
      </c>
      <c r="C64" s="128" t="s">
        <v>515</v>
      </c>
      <c r="D64" s="106" t="s">
        <v>447</v>
      </c>
      <c r="E64" s="106" t="s">
        <v>440</v>
      </c>
      <c r="F64" s="106">
        <v>17</v>
      </c>
      <c r="G64" s="137" t="s">
        <v>548</v>
      </c>
    </row>
    <row r="65" spans="1:6" ht="15" customHeight="1" x14ac:dyDescent="0.3">
      <c r="A65" s="107" t="s">
        <v>544</v>
      </c>
      <c r="B65" s="107" t="s">
        <v>518</v>
      </c>
      <c r="C65" s="136" t="s">
        <v>515</v>
      </c>
      <c r="D65" s="107" t="s">
        <v>447</v>
      </c>
      <c r="E65" s="107" t="s">
        <v>440</v>
      </c>
      <c r="F65" s="107">
        <v>18</v>
      </c>
    </row>
  </sheetData>
  <autoFilter ref="A1:F65" xr:uid="{00000000-0001-0000-0500-000000000000}"/>
  <sortState xmlns:xlrd2="http://schemas.microsoft.com/office/spreadsheetml/2017/richdata2" ref="A2:F65">
    <sortCondition ref="A1"/>
    <sortCondition ref="B1"/>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traireCartoPowerPoint">
                <anchor>
                  <from>
                    <xdr:col>6</xdr:col>
                    <xdr:colOff>251460</xdr:colOff>
                    <xdr:row>0</xdr:row>
                    <xdr:rowOff>144780</xdr:rowOff>
                  </from>
                  <to>
                    <xdr:col>8</xdr:col>
                    <xdr:colOff>137160</xdr:colOff>
                    <xdr:row>3</xdr:row>
                    <xdr:rowOff>106680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E6A8E0370D4B54D99C92E33153F946A" ma:contentTypeVersion="" ma:contentTypeDescription="Crée un document." ma:contentTypeScope="" ma:versionID="584589e785576f0fb712aec22b0942f2">
  <xsd:schema xmlns:xsd="http://www.w3.org/2001/XMLSchema" xmlns:xs="http://www.w3.org/2001/XMLSchema" xmlns:p="http://schemas.microsoft.com/office/2006/metadata/properties" xmlns:ns2="22e88a27-55ef-4084-9dbd-641a4bb576ce" targetNamespace="http://schemas.microsoft.com/office/2006/metadata/properties" ma:root="true" ma:fieldsID="bca53b08244bd94c27361818980d4ceb" ns2:_="">
    <xsd:import namespace="22e88a27-55ef-4084-9dbd-641a4bb576ce"/>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e88a27-55ef-4084-9dbd-641a4bb576ce"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D1214C7-E374-4F3E-BBF3-B2181DF839B8}">
  <ds:schemaRefs>
    <ds:schemaRef ds:uri="http://schemas.microsoft.com/sharepoint/v3/contenttype/forms"/>
  </ds:schemaRefs>
</ds:datastoreItem>
</file>

<file path=customXml/itemProps2.xml><?xml version="1.0" encoding="utf-8"?>
<ds:datastoreItem xmlns:ds="http://schemas.openxmlformats.org/officeDocument/2006/customXml" ds:itemID="{7BBC510F-DF63-4398-9A34-AC933411B985}">
  <ds:schemaRefs>
    <ds:schemaRef ds:uri="http://purl.org/dc/dcmitype/"/>
    <ds:schemaRef ds:uri="http://purl.org/dc/terms/"/>
    <ds:schemaRef ds:uri="http://schemas.openxmlformats.org/package/2006/metadata/core-properties"/>
    <ds:schemaRef ds:uri="http://schemas.microsoft.com/office/2006/documentManagement/types"/>
    <ds:schemaRef ds:uri="22e88a27-55ef-4084-9dbd-641a4bb576ce"/>
    <ds:schemaRef ds:uri="http://schemas.microsoft.com/office/infopath/2007/PartnerControls"/>
    <ds:schemaRef ds:uri="http://schemas.microsoft.com/office/2006/metadata/properties"/>
    <ds:schemaRef ds:uri="http://www.w3.org/XML/1998/namespace"/>
    <ds:schemaRef ds:uri="http://purl.org/dc/elements/1.1/"/>
  </ds:schemaRefs>
</ds:datastoreItem>
</file>

<file path=customXml/itemProps3.xml><?xml version="1.0" encoding="utf-8"?>
<ds:datastoreItem xmlns:ds="http://schemas.openxmlformats.org/officeDocument/2006/customXml" ds:itemID="{370E9D8D-6A46-4B7B-A303-CB7E842832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e88a27-55ef-4084-9dbd-641a4bb576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Légende</vt:lpstr>
      <vt:lpstr>Détail</vt:lpstr>
      <vt:lpstr>Planning</vt:lpstr>
      <vt:lpstr>Param</vt:lpstr>
      <vt:lpstr>Archives Détail</vt:lpstr>
      <vt:lpstr>Archives Param</vt:lpstr>
      <vt:lpstr>Usage Env</vt:lpstr>
      <vt:lpstr>Récup Carto</vt:lpstr>
      <vt:lpstr>Col_Date_Début</vt:lpstr>
      <vt:lpstr>'Archives Param'!Couleurs</vt:lpstr>
      <vt:lpstr>Couleurs</vt:lpstr>
      <vt:lpstr>'Archives Param'!Date_début</vt:lpstr>
      <vt:lpstr>Date_début</vt:lpstr>
      <vt:lpstr>'Archives Param'!Date_fin</vt:lpstr>
      <vt:lpstr>Date_fin</vt:lpstr>
      <vt:lpstr>'Archives Param'!DuréeSprint</vt:lpstr>
      <vt:lpstr>DuréeSprint</vt:lpstr>
      <vt:lpstr>'Archives Param'!Env</vt:lpstr>
      <vt:lpstr>Env</vt:lpstr>
      <vt:lpstr>'Archives Param'!Férié</vt:lpstr>
      <vt:lpstr>Férié</vt:lpstr>
      <vt:lpstr>'Archives Param'!Phase</vt:lpstr>
      <vt:lpstr>Phase</vt:lpstr>
      <vt:lpstr>'Archives Param'!Projet</vt:lpstr>
      <vt:lpstr>Projet</vt:lpstr>
      <vt:lpstr>'Archives Param'!Sprints</vt:lpstr>
      <vt:lpstr>Sprints</vt:lpstr>
    </vt:vector>
  </TitlesOfParts>
  <Manager/>
  <Company>SILCA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FOISSY Philippe</dc:creator>
  <cp:keywords/>
  <dc:description/>
  <cp:lastModifiedBy>FOISSY Philippe</cp:lastModifiedBy>
  <cp:revision/>
  <dcterms:created xsi:type="dcterms:W3CDTF">2024-08-14T13:59:41Z</dcterms:created>
  <dcterms:modified xsi:type="dcterms:W3CDTF">2026-02-13T14:04:27Z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ad6431-53ea-4466-8111-3fefa470bcb9_Enabled">
    <vt:lpwstr>true</vt:lpwstr>
  </property>
  <property fmtid="{D5CDD505-2E9C-101B-9397-08002B2CF9AE}" pid="3" name="MSIP_Label_4cad6431-53ea-4466-8111-3fefa470bcb9_SetDate">
    <vt:lpwstr>2024-08-19T13:19:28Z</vt:lpwstr>
  </property>
  <property fmtid="{D5CDD505-2E9C-101B-9397-08002B2CF9AE}" pid="4" name="MSIP_Label_4cad6431-53ea-4466-8111-3fefa470bcb9_Method">
    <vt:lpwstr>Privileged</vt:lpwstr>
  </property>
  <property fmtid="{D5CDD505-2E9C-101B-9397-08002B2CF9AE}" pid="5" name="MSIP_Label_4cad6431-53ea-4466-8111-3fefa470bcb9_Name">
    <vt:lpwstr>Usage Interne</vt:lpwstr>
  </property>
  <property fmtid="{D5CDD505-2E9C-101B-9397-08002B2CF9AE}" pid="6" name="MSIP_Label_4cad6431-53ea-4466-8111-3fefa470bcb9_SiteId">
    <vt:lpwstr>fb3baf17-c313-474c-8d5d-577a3ec97a32</vt:lpwstr>
  </property>
  <property fmtid="{D5CDD505-2E9C-101B-9397-08002B2CF9AE}" pid="7" name="MSIP_Label_4cad6431-53ea-4466-8111-3fefa470bcb9_ActionId">
    <vt:lpwstr>f0ba6560-e5cd-45fe-8030-98209fb3fd07</vt:lpwstr>
  </property>
  <property fmtid="{D5CDD505-2E9C-101B-9397-08002B2CF9AE}" pid="8" name="MSIP_Label_4cad6431-53ea-4466-8111-3fefa470bcb9_ContentBits">
    <vt:lpwstr>0</vt:lpwstr>
  </property>
  <property fmtid="{D5CDD505-2E9C-101B-9397-08002B2CF9AE}" pid="9" name="ContentTypeId">
    <vt:lpwstr>0x010100DE6A8E0370D4B54D99C92E33153F946A</vt:lpwstr>
  </property>
  <property fmtid="{D5CDD505-2E9C-101B-9397-08002B2CF9AE}" pid="10" name="Order">
    <vt:r8>11500</vt:r8>
  </property>
  <property fmtid="{D5CDD505-2E9C-101B-9397-08002B2CF9AE}" pid="11" name="xd_Signature">
    <vt:bool>false</vt:bool>
  </property>
  <property fmtid="{D5CDD505-2E9C-101B-9397-08002B2CF9AE}" pid="12" name="xd_ProgID">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ies>
</file>